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1_5312D8CACE16D56CD1DFF4EBE81D7AAC54B71860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ON TEST SHEET" sheetId="1" r:id="rId1"/>
    <sheet name="Task" sheetId="2" r:id="rId2"/>
    <sheet name="Orca" sheetId="3" r:id="rId3"/>
  </sheets>
  <definedNames>
    <definedName name="_xlnm._FilterDatabase" localSheetId="2" hidden="1">Orca!$A$1:$H$189</definedName>
    <definedName name="_xlnm._FilterDatabase" localSheetId="0" hidden="1">'PON TEST SHEET'!$A$5:$N$193</definedName>
    <definedName name="_xlnm._FilterDatabase" localSheetId="1" hidden="1">Task!$A$1:$G$191</definedName>
    <definedName name="_xlnm.Print_Titles" localSheetId="0">'PON TEST SHEET'!$5:$5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93" i="1" l="1"/>
  <c r="N193" i="1"/>
  <c r="M192" i="1"/>
  <c r="N192" i="1"/>
  <c r="M191" i="1"/>
  <c r="N191" i="1"/>
  <c r="M190" i="1"/>
  <c r="N190" i="1"/>
  <c r="M189" i="1"/>
  <c r="N189" i="1"/>
  <c r="M188" i="1"/>
  <c r="N188" i="1"/>
  <c r="M187" i="1"/>
  <c r="N187" i="1"/>
  <c r="M186" i="1"/>
  <c r="N186" i="1"/>
  <c r="M185" i="1"/>
  <c r="N185" i="1"/>
  <c r="M184" i="1"/>
  <c r="N184" i="1"/>
  <c r="M183" i="1"/>
  <c r="N183" i="1"/>
  <c r="M182" i="1"/>
  <c r="N182" i="1"/>
  <c r="M181" i="1"/>
  <c r="N181" i="1"/>
  <c r="M180" i="1"/>
  <c r="N180" i="1"/>
  <c r="M179" i="1"/>
  <c r="N179" i="1"/>
  <c r="M178" i="1"/>
  <c r="N178" i="1"/>
  <c r="M177" i="1"/>
  <c r="N177" i="1"/>
  <c r="M176" i="1"/>
  <c r="N176" i="1"/>
  <c r="M175" i="1"/>
  <c r="N175" i="1"/>
  <c r="M174" i="1"/>
  <c r="N174" i="1"/>
  <c r="M173" i="1"/>
  <c r="N173" i="1"/>
  <c r="M172" i="1"/>
  <c r="N172" i="1"/>
  <c r="M171" i="1"/>
  <c r="N171" i="1"/>
  <c r="M170" i="1"/>
  <c r="N170" i="1"/>
  <c r="M169" i="1"/>
  <c r="N169" i="1"/>
  <c r="M168" i="1"/>
  <c r="N168" i="1"/>
  <c r="M167" i="1"/>
  <c r="N167" i="1"/>
  <c r="M166" i="1"/>
  <c r="N166" i="1"/>
  <c r="M165" i="1"/>
  <c r="N165" i="1"/>
  <c r="M164" i="1"/>
  <c r="N164" i="1"/>
  <c r="M163" i="1"/>
  <c r="N163" i="1"/>
  <c r="M162" i="1"/>
  <c r="N162" i="1"/>
  <c r="M161" i="1"/>
  <c r="N161" i="1"/>
  <c r="M160" i="1"/>
  <c r="N160" i="1"/>
  <c r="M159" i="1"/>
  <c r="N159" i="1"/>
  <c r="M158" i="1"/>
  <c r="N158" i="1"/>
  <c r="M157" i="1"/>
  <c r="N157" i="1"/>
  <c r="M156" i="1"/>
  <c r="N156" i="1"/>
  <c r="M155" i="1"/>
  <c r="N155" i="1"/>
  <c r="M154" i="1"/>
  <c r="N154" i="1"/>
  <c r="M153" i="1"/>
  <c r="N153" i="1"/>
  <c r="M152" i="1"/>
  <c r="N152" i="1"/>
  <c r="M151" i="1"/>
  <c r="N151" i="1"/>
  <c r="M150" i="1"/>
  <c r="N150" i="1"/>
  <c r="M149" i="1"/>
  <c r="N149" i="1"/>
  <c r="M148" i="1"/>
  <c r="N148" i="1"/>
  <c r="M147" i="1"/>
  <c r="N147" i="1"/>
  <c r="M146" i="1"/>
  <c r="N146" i="1"/>
  <c r="M145" i="1"/>
  <c r="N145" i="1"/>
  <c r="M144" i="1"/>
  <c r="N144" i="1"/>
  <c r="M143" i="1"/>
  <c r="N143" i="1"/>
  <c r="M142" i="1"/>
  <c r="N142" i="1"/>
  <c r="M141" i="1"/>
  <c r="N141" i="1"/>
  <c r="M140" i="1"/>
  <c r="N140" i="1"/>
  <c r="M139" i="1"/>
  <c r="N139" i="1"/>
  <c r="M138" i="1"/>
  <c r="N138" i="1"/>
  <c r="M137" i="1"/>
  <c r="N137" i="1"/>
  <c r="M136" i="1"/>
  <c r="N136" i="1"/>
  <c r="M135" i="1"/>
  <c r="N135" i="1"/>
  <c r="M134" i="1"/>
  <c r="N134" i="1"/>
  <c r="M133" i="1"/>
  <c r="N133" i="1"/>
  <c r="M132" i="1"/>
  <c r="N132" i="1"/>
  <c r="M131" i="1"/>
  <c r="N131" i="1"/>
  <c r="M130" i="1"/>
  <c r="N130" i="1"/>
  <c r="M129" i="1"/>
  <c r="N129" i="1"/>
  <c r="M128" i="1"/>
  <c r="N128" i="1"/>
  <c r="M127" i="1"/>
  <c r="N127" i="1"/>
  <c r="M126" i="1"/>
  <c r="N126" i="1"/>
  <c r="M125" i="1"/>
  <c r="N125" i="1"/>
  <c r="M124" i="1"/>
  <c r="N124" i="1"/>
  <c r="M123" i="1"/>
  <c r="N123" i="1"/>
  <c r="M122" i="1"/>
  <c r="N122" i="1"/>
  <c r="M121" i="1"/>
  <c r="N121" i="1"/>
  <c r="M120" i="1"/>
  <c r="N120" i="1"/>
  <c r="M119" i="1"/>
  <c r="N119" i="1"/>
  <c r="M118" i="1"/>
  <c r="N118" i="1"/>
  <c r="M117" i="1"/>
  <c r="N117" i="1"/>
  <c r="M116" i="1"/>
  <c r="N116" i="1"/>
  <c r="M115" i="1"/>
  <c r="N115" i="1"/>
  <c r="M114" i="1"/>
  <c r="N114" i="1"/>
  <c r="M113" i="1"/>
  <c r="N113" i="1"/>
  <c r="M112" i="1"/>
  <c r="N112" i="1"/>
  <c r="M111" i="1"/>
  <c r="N111" i="1"/>
  <c r="M110" i="1"/>
  <c r="N110" i="1"/>
  <c r="M109" i="1"/>
  <c r="N109" i="1"/>
  <c r="M108" i="1"/>
  <c r="N108" i="1"/>
  <c r="M107" i="1"/>
  <c r="N107" i="1"/>
  <c r="M106" i="1"/>
  <c r="N106" i="1"/>
  <c r="M105" i="1"/>
  <c r="N105" i="1"/>
  <c r="M104" i="1"/>
  <c r="N104" i="1"/>
  <c r="M103" i="1"/>
  <c r="N103" i="1"/>
  <c r="M102" i="1"/>
  <c r="N102" i="1"/>
  <c r="M101" i="1"/>
  <c r="N101" i="1"/>
  <c r="M100" i="1"/>
  <c r="N100" i="1"/>
  <c r="M99" i="1"/>
  <c r="N99" i="1"/>
  <c r="M98" i="1"/>
  <c r="N98" i="1"/>
  <c r="M97" i="1"/>
  <c r="N97" i="1"/>
  <c r="M96" i="1"/>
  <c r="N96" i="1"/>
  <c r="M95" i="1"/>
  <c r="N95" i="1"/>
  <c r="M94" i="1"/>
  <c r="N94" i="1"/>
  <c r="M93" i="1"/>
  <c r="N93" i="1"/>
  <c r="M92" i="1"/>
  <c r="N92" i="1"/>
  <c r="M91" i="1"/>
  <c r="N91" i="1"/>
  <c r="M90" i="1"/>
  <c r="N90" i="1"/>
  <c r="M89" i="1"/>
  <c r="N89" i="1"/>
  <c r="M88" i="1"/>
  <c r="N88" i="1"/>
  <c r="M87" i="1"/>
  <c r="N87" i="1"/>
  <c r="M86" i="1"/>
  <c r="N86" i="1"/>
  <c r="M85" i="1"/>
  <c r="N85" i="1"/>
  <c r="M84" i="1"/>
  <c r="N84" i="1"/>
  <c r="M83" i="1"/>
  <c r="N83" i="1"/>
  <c r="M82" i="1"/>
  <c r="N82" i="1"/>
  <c r="M81" i="1"/>
  <c r="N81" i="1"/>
  <c r="M80" i="1"/>
  <c r="N80" i="1"/>
  <c r="M79" i="1"/>
  <c r="N79" i="1"/>
  <c r="M78" i="1"/>
  <c r="N78" i="1"/>
  <c r="M77" i="1"/>
  <c r="N77" i="1"/>
  <c r="M76" i="1"/>
  <c r="N76" i="1"/>
  <c r="M75" i="1"/>
  <c r="N75" i="1"/>
  <c r="M74" i="1"/>
  <c r="N74" i="1"/>
  <c r="M73" i="1"/>
  <c r="N73" i="1"/>
  <c r="M72" i="1"/>
  <c r="N72" i="1"/>
  <c r="M71" i="1"/>
  <c r="N71" i="1"/>
  <c r="M70" i="1"/>
  <c r="N70" i="1"/>
  <c r="M69" i="1"/>
  <c r="N69" i="1"/>
  <c r="M68" i="1"/>
  <c r="N68" i="1"/>
  <c r="M67" i="1"/>
  <c r="N67" i="1"/>
  <c r="M66" i="1"/>
  <c r="N66" i="1"/>
  <c r="M65" i="1"/>
  <c r="N65" i="1"/>
  <c r="M64" i="1"/>
  <c r="N64" i="1"/>
  <c r="M63" i="1"/>
  <c r="N63" i="1"/>
  <c r="M62" i="1"/>
  <c r="N62" i="1"/>
  <c r="M61" i="1"/>
  <c r="N61" i="1"/>
  <c r="M60" i="1"/>
  <c r="N60" i="1"/>
  <c r="M59" i="1"/>
  <c r="N59" i="1"/>
  <c r="M58" i="1"/>
  <c r="N58" i="1"/>
  <c r="M57" i="1"/>
  <c r="N57" i="1"/>
  <c r="M56" i="1"/>
  <c r="N56" i="1"/>
  <c r="M55" i="1"/>
  <c r="N55" i="1"/>
  <c r="M54" i="1"/>
  <c r="N54" i="1"/>
  <c r="M53" i="1"/>
  <c r="N53" i="1"/>
  <c r="M52" i="1"/>
  <c r="N52" i="1"/>
  <c r="M51" i="1"/>
  <c r="N51" i="1"/>
  <c r="M50" i="1"/>
  <c r="N50" i="1"/>
  <c r="M49" i="1"/>
  <c r="N49" i="1"/>
  <c r="M48" i="1"/>
  <c r="N48" i="1"/>
  <c r="M47" i="1"/>
  <c r="N47" i="1"/>
  <c r="M46" i="1"/>
  <c r="N46" i="1"/>
  <c r="M45" i="1"/>
  <c r="N45" i="1"/>
  <c r="M44" i="1"/>
  <c r="N44" i="1"/>
  <c r="M43" i="1"/>
  <c r="N43" i="1"/>
  <c r="M42" i="1"/>
  <c r="N42" i="1"/>
  <c r="M41" i="1"/>
  <c r="N41" i="1"/>
  <c r="M40" i="1"/>
  <c r="N40" i="1"/>
  <c r="M39" i="1"/>
  <c r="N39" i="1"/>
  <c r="M38" i="1"/>
  <c r="N38" i="1"/>
  <c r="M37" i="1"/>
  <c r="N37" i="1"/>
  <c r="M36" i="1"/>
  <c r="N36" i="1"/>
  <c r="M35" i="1"/>
  <c r="N35" i="1"/>
  <c r="M34" i="1"/>
  <c r="N34" i="1"/>
  <c r="M33" i="1"/>
  <c r="N33" i="1"/>
  <c r="M32" i="1"/>
  <c r="N32" i="1"/>
  <c r="M31" i="1"/>
  <c r="N31" i="1"/>
  <c r="M30" i="1"/>
  <c r="N30" i="1"/>
  <c r="M29" i="1"/>
  <c r="N29" i="1"/>
  <c r="M28" i="1"/>
  <c r="N28" i="1"/>
  <c r="M27" i="1"/>
  <c r="N27" i="1"/>
  <c r="M26" i="1"/>
  <c r="N26" i="1"/>
  <c r="M25" i="1"/>
  <c r="N25" i="1"/>
  <c r="M24" i="1"/>
  <c r="N24" i="1"/>
  <c r="M23" i="1"/>
  <c r="N23" i="1"/>
  <c r="M22" i="1"/>
  <c r="N22" i="1"/>
  <c r="M21" i="1"/>
  <c r="N21" i="1"/>
  <c r="M20" i="1"/>
  <c r="N20" i="1"/>
  <c r="M19" i="1"/>
  <c r="N19" i="1"/>
  <c r="M18" i="1"/>
  <c r="N18" i="1"/>
  <c r="M17" i="1"/>
  <c r="N17" i="1"/>
  <c r="M16" i="1"/>
  <c r="N16" i="1"/>
  <c r="M15" i="1"/>
  <c r="N15" i="1"/>
  <c r="M14" i="1"/>
  <c r="N14" i="1"/>
  <c r="M13" i="1"/>
  <c r="N13" i="1"/>
  <c r="M12" i="1"/>
  <c r="N12" i="1"/>
  <c r="M11" i="1"/>
  <c r="N11" i="1"/>
  <c r="M10" i="1"/>
  <c r="N10" i="1"/>
  <c r="M9" i="1"/>
  <c r="N9" i="1"/>
  <c r="M8" i="1"/>
  <c r="N8" i="1"/>
  <c r="M7" i="1"/>
  <c r="N7" i="1"/>
  <c r="M6" i="1"/>
  <c r="N6" i="1"/>
</calcChain>
</file>

<file path=xl/sharedStrings.xml><?xml version="1.0" encoding="utf-8"?>
<sst xmlns="http://schemas.openxmlformats.org/spreadsheetml/2006/main" count="2856" uniqueCount="1168">
  <si>
    <t>Scan QR for Map</t>
  </si>
  <si>
    <t>PFP:  F 4250 W RYAN RD PFP</t>
  </si>
  <si>
    <t>PROJECT:  A051JAX</t>
  </si>
  <si>
    <t>CABLE ID:  PON4250WRR</t>
  </si>
  <si>
    <t>TOTAL STRANDS:  582</t>
  </si>
  <si>
    <t>TERMINALS:  188</t>
  </si>
  <si>
    <t>#</t>
  </si>
  <si>
    <t>Terminal</t>
  </si>
  <si>
    <t>Waldo ID</t>
  </si>
  <si>
    <t>PON Count</t>
  </si>
  <si>
    <t>Total Strands</t>
  </si>
  <si>
    <t>Test Port</t>
  </si>
  <si>
    <t>Test Strand</t>
  </si>
  <si>
    <t>Estm FT</t>
  </si>
  <si>
    <t>Real FT</t>
  </si>
  <si>
    <t>Failed Strand</t>
  </si>
  <si>
    <t>Lost</t>
  </si>
  <si>
    <t>@FT</t>
  </si>
  <si>
    <t>Task</t>
  </si>
  <si>
    <t>Status</t>
  </si>
  <si>
    <t>R 4750 W WOODWARD DR CFST</t>
  </si>
  <si>
    <t>230149299</t>
  </si>
  <si>
    <t>29-30</t>
  </si>
  <si>
    <t>R 4732 W WOODWARD DR CFST</t>
  </si>
  <si>
    <t>230149280</t>
  </si>
  <si>
    <t>31-32</t>
  </si>
  <si>
    <t>R 4658 W WOODWARD DR CFST</t>
  </si>
  <si>
    <t>230149190</t>
  </si>
  <si>
    <t>33-34</t>
  </si>
  <si>
    <t>R 4630 W WOODWARD DR CFST</t>
  </si>
  <si>
    <t>230149302</t>
  </si>
  <si>
    <t>35-36</t>
  </si>
  <si>
    <t>R 4542 W WOODWARD DR CFST</t>
  </si>
  <si>
    <t>230149176</t>
  </si>
  <si>
    <t>37-38</t>
  </si>
  <si>
    <t>R 4522 W WOODWARD DR CFST</t>
  </si>
  <si>
    <t>230149269</t>
  </si>
  <si>
    <t>39-42</t>
  </si>
  <si>
    <t>R 8905 S 45TH CFST</t>
  </si>
  <si>
    <t>230149271</t>
  </si>
  <si>
    <t>43-44</t>
  </si>
  <si>
    <t>R 4344 W HUNTERS CT CFST</t>
  </si>
  <si>
    <t>230149150</t>
  </si>
  <si>
    <t>45-46</t>
  </si>
  <si>
    <t>R 4310 W HUNTERS CT CFST</t>
  </si>
  <si>
    <t>230149267</t>
  </si>
  <si>
    <t>47-48</t>
  </si>
  <si>
    <t>R 8932 S 45TH CFST</t>
  </si>
  <si>
    <t>230149156</t>
  </si>
  <si>
    <t>55-58</t>
  </si>
  <si>
    <t>R 4342 W WOODWARD DR CFST</t>
  </si>
  <si>
    <t>230149192</t>
  </si>
  <si>
    <t>59-60</t>
  </si>
  <si>
    <t>F 4303 W WOODWARD DR CFST</t>
  </si>
  <si>
    <t>230149183</t>
  </si>
  <si>
    <t>61-64</t>
  </si>
  <si>
    <t>R 4471 W JENNA DR CFST</t>
  </si>
  <si>
    <t>230149199</t>
  </si>
  <si>
    <t>65-68</t>
  </si>
  <si>
    <t>R 4525 W WOODWARD DR CFST</t>
  </si>
  <si>
    <t>230149207</t>
  </si>
  <si>
    <t>69-70</t>
  </si>
  <si>
    <t>R 4476 W JENNA DR CFST</t>
  </si>
  <si>
    <t>230149250</t>
  </si>
  <si>
    <t>71-72</t>
  </si>
  <si>
    <t>R 4631 W WOODWARD DR CFST</t>
  </si>
  <si>
    <t>230149310</t>
  </si>
  <si>
    <t>77-80</t>
  </si>
  <si>
    <t>R 4549 W WOODWARD DR CFST</t>
  </si>
  <si>
    <t>230149300</t>
  </si>
  <si>
    <t>81-84</t>
  </si>
  <si>
    <t>R 4501 W JENNA DR CFST</t>
  </si>
  <si>
    <t>230149164</t>
  </si>
  <si>
    <t>85-86</t>
  </si>
  <si>
    <t>R 4515 W JENNA DR CFST</t>
  </si>
  <si>
    <t>230149197</t>
  </si>
  <si>
    <t>87-88</t>
  </si>
  <si>
    <t>R 4545 W JENNA DR CFST</t>
  </si>
  <si>
    <t>230149270</t>
  </si>
  <si>
    <t>89-90</t>
  </si>
  <si>
    <t>R 4627 W JENNA DR CFST</t>
  </si>
  <si>
    <t>230149144</t>
  </si>
  <si>
    <t>91-92</t>
  </si>
  <si>
    <t>R 4641 W JENNA DR CFST</t>
  </si>
  <si>
    <t>230149224</t>
  </si>
  <si>
    <t>93-94</t>
  </si>
  <si>
    <t>R 9054 S 47TH CFST</t>
  </si>
  <si>
    <t>230149225</t>
  </si>
  <si>
    <t>95-96</t>
  </si>
  <si>
    <t>R 9002 S DEERBROOKE CT CFST</t>
  </si>
  <si>
    <t>230149257</t>
  </si>
  <si>
    <t>107-108</t>
  </si>
  <si>
    <t>R 9025 S DEERBROOKE CT CFST</t>
  </si>
  <si>
    <t>230149221</t>
  </si>
  <si>
    <t>109-110</t>
  </si>
  <si>
    <t>R 9037 S DEERBROOKE CT CFST</t>
  </si>
  <si>
    <t>230149166</t>
  </si>
  <si>
    <t>111-112</t>
  </si>
  <si>
    <t>R 9059 DEERBROOKE CT CFST</t>
  </si>
  <si>
    <t>230149155</t>
  </si>
  <si>
    <t>113-116</t>
  </si>
  <si>
    <t>R 4536 W HILLTOP LA CFST</t>
  </si>
  <si>
    <t>230149223</t>
  </si>
  <si>
    <t>117-118</t>
  </si>
  <si>
    <t>R 4548 W HILLTOP LA CFST</t>
  </si>
  <si>
    <t>230149298</t>
  </si>
  <si>
    <t>119-120</t>
  </si>
  <si>
    <t>R 4656 W HILLTOP LN CFST</t>
  </si>
  <si>
    <t>230149146</t>
  </si>
  <si>
    <t>121-122</t>
  </si>
  <si>
    <t>R 9112 S 47TH CFST</t>
  </si>
  <si>
    <t>230149234</t>
  </si>
  <si>
    <t>123-124</t>
  </si>
  <si>
    <t>R 9130 S 47TH CFST</t>
  </si>
  <si>
    <t>230149284</t>
  </si>
  <si>
    <t>125-128</t>
  </si>
  <si>
    <t>R 9184 S 47TH CFST</t>
  </si>
  <si>
    <t>230149179</t>
  </si>
  <si>
    <t>129-132</t>
  </si>
  <si>
    <t>R 9241 S 46TH CFST</t>
  </si>
  <si>
    <t>230149135</t>
  </si>
  <si>
    <t>133-136</t>
  </si>
  <si>
    <t>R 9261 S 46TH CFST</t>
  </si>
  <si>
    <t>230149227</t>
  </si>
  <si>
    <t>137-140</t>
  </si>
  <si>
    <t>R 9311 S 46TH CFST</t>
  </si>
  <si>
    <t>230149238</t>
  </si>
  <si>
    <t>141-144</t>
  </si>
  <si>
    <t>R 9340 S 47TH CFST</t>
  </si>
  <si>
    <t>230149278</t>
  </si>
  <si>
    <t>149-152</t>
  </si>
  <si>
    <t>R 4645 W SHERWOOD DR CFST</t>
  </si>
  <si>
    <t>230149149</t>
  </si>
  <si>
    <t>153-154</t>
  </si>
  <si>
    <t>R 9461 S 46TH CFST</t>
  </si>
  <si>
    <t>230149209</t>
  </si>
  <si>
    <t>155-156</t>
  </si>
  <si>
    <t>R 9428 S 41ST CFST</t>
  </si>
  <si>
    <t>230149205</t>
  </si>
  <si>
    <t>157-158</t>
  </si>
  <si>
    <t>R 9412 S 41ST CFST</t>
  </si>
  <si>
    <t>230149213</t>
  </si>
  <si>
    <t>165-166</t>
  </si>
  <si>
    <t>R 9404 S 41ST CFST</t>
  </si>
  <si>
    <t>230149248</t>
  </si>
  <si>
    <t>167-168</t>
  </si>
  <si>
    <t>R 9236 S 41ST CFST</t>
  </si>
  <si>
    <t>230149215</t>
  </si>
  <si>
    <t>177-180</t>
  </si>
  <si>
    <t>R 9314 S 41ST CFST</t>
  </si>
  <si>
    <t>230149211</t>
  </si>
  <si>
    <t>181-184</t>
  </si>
  <si>
    <t>R 9311 S OAK CREEK CT CFST</t>
  </si>
  <si>
    <t>230149189</t>
  </si>
  <si>
    <t>185-188</t>
  </si>
  <si>
    <t>R 9304 S OAK CREEK DR CFST</t>
  </si>
  <si>
    <t>230149305</t>
  </si>
  <si>
    <t>189-190</t>
  </si>
  <si>
    <t>R 9232 S OAK CREEK CT CFST</t>
  </si>
  <si>
    <t>230149295</t>
  </si>
  <si>
    <t>191-192</t>
  </si>
  <si>
    <t>R 9216 S 41ST CFST</t>
  </si>
  <si>
    <t>230149252</t>
  </si>
  <si>
    <t>201-204</t>
  </si>
  <si>
    <t>R 4039 W SOUTHWOOD DR CFST</t>
  </si>
  <si>
    <t>230149186</t>
  </si>
  <si>
    <t>205-206</t>
  </si>
  <si>
    <t>R 9208 S 41ST CFST</t>
  </si>
  <si>
    <t>230149216</t>
  </si>
  <si>
    <t>207-208</t>
  </si>
  <si>
    <t>R 9200 S 41ST CFST</t>
  </si>
  <si>
    <t>230149258</t>
  </si>
  <si>
    <t>209-210</t>
  </si>
  <si>
    <t>R 9170 S 41ST CFST</t>
  </si>
  <si>
    <t>230149201</t>
  </si>
  <si>
    <t>211-212</t>
  </si>
  <si>
    <t>R 9154 S 41ST ST CFST</t>
  </si>
  <si>
    <t>230149159</t>
  </si>
  <si>
    <t>213-214</t>
  </si>
  <si>
    <t>R 9118 S 41ST CFST</t>
  </si>
  <si>
    <t>230149288</t>
  </si>
  <si>
    <t>215-216</t>
  </si>
  <si>
    <t>R 4102 W HILLTOP CT CFST</t>
  </si>
  <si>
    <t>230149206</t>
  </si>
  <si>
    <t>217-220</t>
  </si>
  <si>
    <t>R 4114 W HILLTOP CT CFST</t>
  </si>
  <si>
    <t>230149125</t>
  </si>
  <si>
    <t>221-224</t>
  </si>
  <si>
    <t>R 4126 W HILLTOP CT CFST</t>
  </si>
  <si>
    <t>230149277</t>
  </si>
  <si>
    <t>225-226</t>
  </si>
  <si>
    <t>R 4162 W HILLTOP LA CFST</t>
  </si>
  <si>
    <t>230149173</t>
  </si>
  <si>
    <t>227-228</t>
  </si>
  <si>
    <t>R 4174 W HILLTOP LA CFST</t>
  </si>
  <si>
    <t>230149181</t>
  </si>
  <si>
    <t>229-230</t>
  </si>
  <si>
    <t>R 4198 W HILLTOP LA CFST</t>
  </si>
  <si>
    <t>230149200</t>
  </si>
  <si>
    <t>231-232</t>
  </si>
  <si>
    <t>R 4236 W HILLTOP LA CFST</t>
  </si>
  <si>
    <t>230149276</t>
  </si>
  <si>
    <t>233-234</t>
  </si>
  <si>
    <t>R 4248 W HILLTOP LA CFST</t>
  </si>
  <si>
    <t>230149195</t>
  </si>
  <si>
    <t>235-236</t>
  </si>
  <si>
    <t>R 4406 W HILLTOP LA CFST</t>
  </si>
  <si>
    <t>230149290</t>
  </si>
  <si>
    <t>237-238</t>
  </si>
  <si>
    <t>R 9062 S DEERBROOKE CT CFST</t>
  </si>
  <si>
    <t>230149184</t>
  </si>
  <si>
    <t>239-240</t>
  </si>
  <si>
    <t>R 9026 S DEERBROOKE CT CFST</t>
  </si>
  <si>
    <t>230149148</t>
  </si>
  <si>
    <t>249-250</t>
  </si>
  <si>
    <t>R 9038 S DEERBROOKE CT CFST</t>
  </si>
  <si>
    <t>230149128</t>
  </si>
  <si>
    <t>251-252</t>
  </si>
  <si>
    <t>R 4415 W HILLTOP LA CFST</t>
  </si>
  <si>
    <t>230149217</t>
  </si>
  <si>
    <t>261-264</t>
  </si>
  <si>
    <t>R 4536 W MARTINTON CT CFST</t>
  </si>
  <si>
    <t>230149255</t>
  </si>
  <si>
    <t>265-268</t>
  </si>
  <si>
    <t>R 9110 S 46TH CFST</t>
  </si>
  <si>
    <t>230149131</t>
  </si>
  <si>
    <t>269-272</t>
  </si>
  <si>
    <t>R 4562 W MARTINTON CT CFST</t>
  </si>
  <si>
    <t>230149309</t>
  </si>
  <si>
    <t>273-276</t>
  </si>
  <si>
    <t>R 4476 W THORNCREST DR CFST</t>
  </si>
  <si>
    <t>230149134</t>
  </si>
  <si>
    <t>279-280</t>
  </si>
  <si>
    <t>R 9209 S 44TH CFST</t>
  </si>
  <si>
    <t>230149235</t>
  </si>
  <si>
    <t>281-282</t>
  </si>
  <si>
    <t>R 4511 W MARTINTON CT CFST</t>
  </si>
  <si>
    <t>230149297</t>
  </si>
  <si>
    <t>283-286</t>
  </si>
  <si>
    <t>R 4537 W MARTINTON CT CFST</t>
  </si>
  <si>
    <t>230149240</t>
  </si>
  <si>
    <t>287-288</t>
  </si>
  <si>
    <t>R 9180 S 46TH CFST</t>
  </si>
  <si>
    <t>230149198</t>
  </si>
  <si>
    <t>289-292</t>
  </si>
  <si>
    <t>R 4550 W THORNCREST DR CFST</t>
  </si>
  <si>
    <t>230149236</t>
  </si>
  <si>
    <t>293-296</t>
  </si>
  <si>
    <t>R 4540 W THORNCREST DR CFST</t>
  </si>
  <si>
    <t>230149152</t>
  </si>
  <si>
    <t>297-300</t>
  </si>
  <si>
    <t>R 4451 W CENTRAL AV CFST</t>
  </si>
  <si>
    <t>230149256</t>
  </si>
  <si>
    <t>303-304</t>
  </si>
  <si>
    <t>R 4477 W THORNCREST DR CFST</t>
  </si>
  <si>
    <t>230149153</t>
  </si>
  <si>
    <t>305-306</t>
  </si>
  <si>
    <t>R 4507 W THORNCREST DR CFST</t>
  </si>
  <si>
    <t>230149147</t>
  </si>
  <si>
    <t>307-308</t>
  </si>
  <si>
    <t>R 4445 W CENTRAL AV CFST</t>
  </si>
  <si>
    <t>230149308</t>
  </si>
  <si>
    <t>309-310</t>
  </si>
  <si>
    <t>R 4443 W CENTRAL AV CFST</t>
  </si>
  <si>
    <t>230149304</t>
  </si>
  <si>
    <t>311-312</t>
  </si>
  <si>
    <t>R 9325 S 43RD CFST</t>
  </si>
  <si>
    <t>230149260</t>
  </si>
  <si>
    <t>315-316</t>
  </si>
  <si>
    <t>R 9340 S 44TH CT CFST</t>
  </si>
  <si>
    <t>230149254</t>
  </si>
  <si>
    <t>317-320</t>
  </si>
  <si>
    <t>R 9350 S 44TH CT CFST</t>
  </si>
  <si>
    <t>230149229</t>
  </si>
  <si>
    <t>321-324</t>
  </si>
  <si>
    <t>R 9391 S 43RD CFST</t>
  </si>
  <si>
    <t>230149285</t>
  </si>
  <si>
    <t>333-336</t>
  </si>
  <si>
    <t>R 4368 W CENTRAL AV CFST</t>
  </si>
  <si>
    <t>230149163</t>
  </si>
  <si>
    <t>337-344</t>
  </si>
  <si>
    <t>R 4420 W CENTRAL AV CFST</t>
  </si>
  <si>
    <t>230149160</t>
  </si>
  <si>
    <t>345-348</t>
  </si>
  <si>
    <t>F 4444 W CENTRAL AV CFST</t>
  </si>
  <si>
    <t>230149261</t>
  </si>
  <si>
    <t>355-356</t>
  </si>
  <si>
    <t>R 4434 W CENTRAL AV CFST</t>
  </si>
  <si>
    <t>230149124</t>
  </si>
  <si>
    <t>357-360</t>
  </si>
  <si>
    <t>R 9339 S 44TH CT CFST</t>
  </si>
  <si>
    <t>230149126</t>
  </si>
  <si>
    <t>361-368</t>
  </si>
  <si>
    <t>R 9360 S 46TH CFST</t>
  </si>
  <si>
    <t>230149230</t>
  </si>
  <si>
    <t>369-372</t>
  </si>
  <si>
    <t>R 9250 S 46TH CFST</t>
  </si>
  <si>
    <t>230149137</t>
  </si>
  <si>
    <t>379-382</t>
  </si>
  <si>
    <t>R 9310 S 46TH CFST</t>
  </si>
  <si>
    <t>230149165</t>
  </si>
  <si>
    <t>383-384</t>
  </si>
  <si>
    <t>R 4321 W CENTRAL AV CFST</t>
  </si>
  <si>
    <t>230149204</t>
  </si>
  <si>
    <t>391-394</t>
  </si>
  <si>
    <t>R 4374 W SHERWOOD DR CFST</t>
  </si>
  <si>
    <t>230149247</t>
  </si>
  <si>
    <t>395-398</t>
  </si>
  <si>
    <t>R 4438 W SHERWOOD DR CFST</t>
  </si>
  <si>
    <t>230149191</t>
  </si>
  <si>
    <t>399-402</t>
  </si>
  <si>
    <t>R 4413 W CENTRAL AV CFST</t>
  </si>
  <si>
    <t>230149296</t>
  </si>
  <si>
    <t>403-406</t>
  </si>
  <si>
    <t>R 4421 W CENTRAL AV CFST</t>
  </si>
  <si>
    <t>230149281</t>
  </si>
  <si>
    <t>407-408</t>
  </si>
  <si>
    <t>R 9370 S 46TH CFST</t>
  </si>
  <si>
    <t>230149122</t>
  </si>
  <si>
    <t>409-410</t>
  </si>
  <si>
    <t>R 4441 W SHERWOOD DR CFST</t>
  </si>
  <si>
    <t>230149292</t>
  </si>
  <si>
    <t>411-414</t>
  </si>
  <si>
    <t>R 4419 W SHERWOOD DR CFST</t>
  </si>
  <si>
    <t>230149233</t>
  </si>
  <si>
    <t>415-416</t>
  </si>
  <si>
    <t>R 4407 W SHERWOOD DR CFST</t>
  </si>
  <si>
    <t>230149242</t>
  </si>
  <si>
    <t>417-418</t>
  </si>
  <si>
    <t>R 4311 W SHERWOOD DR CFST</t>
  </si>
  <si>
    <t>230149203</t>
  </si>
  <si>
    <t>419-420</t>
  </si>
  <si>
    <t>R 4113 W FIELDVIEW CT CFST</t>
  </si>
  <si>
    <t>230149245</t>
  </si>
  <si>
    <t>427-430</t>
  </si>
  <si>
    <t>R 4100 W CENTRAL AV CFST</t>
  </si>
  <si>
    <t>230149301</t>
  </si>
  <si>
    <t>431-434</t>
  </si>
  <si>
    <t>R 4100 W BARNWOOD CT CFST</t>
  </si>
  <si>
    <t>230149141</t>
  </si>
  <si>
    <t>435-438</t>
  </si>
  <si>
    <t>R 4113 W CENTRAL AV CFST</t>
  </si>
  <si>
    <t>230149182</t>
  </si>
  <si>
    <t>439-442</t>
  </si>
  <si>
    <t>R 4201 W CENTRAL AV CFST</t>
  </si>
  <si>
    <t>230149243</t>
  </si>
  <si>
    <t>443-446</t>
  </si>
  <si>
    <t>R 4206 W BARNWOOD CT CFST</t>
  </si>
  <si>
    <t>230149220</t>
  </si>
  <si>
    <t>447-448</t>
  </si>
  <si>
    <t>R 4218 W BARNWOOD CT CFST</t>
  </si>
  <si>
    <t>230149143</t>
  </si>
  <si>
    <t>449-452</t>
  </si>
  <si>
    <t>R 4227 W CENTRAL AV CFST</t>
  </si>
  <si>
    <t>230149294</t>
  </si>
  <si>
    <t>453-454</t>
  </si>
  <si>
    <t>R 4224 W BARNWOOD CT CFST</t>
  </si>
  <si>
    <t>230149161</t>
  </si>
  <si>
    <t>455-456</t>
  </si>
  <si>
    <t>F 9474 S 43RD CFST</t>
  </si>
  <si>
    <t>230149263</t>
  </si>
  <si>
    <t>457-460</t>
  </si>
  <si>
    <t>R 4213 W BARNWOOD CT CFST</t>
  </si>
  <si>
    <t>230149142</t>
  </si>
  <si>
    <t>461-462</t>
  </si>
  <si>
    <t>R 4125 W BARNWOOD CT CFST</t>
  </si>
  <si>
    <t>230149232</t>
  </si>
  <si>
    <t>463-464</t>
  </si>
  <si>
    <t>R 4119 W BARNWOOD CT CFST</t>
  </si>
  <si>
    <t>230149218</t>
  </si>
  <si>
    <t>465-466</t>
  </si>
  <si>
    <t>R 4101 W BARNWOOD CT CFST</t>
  </si>
  <si>
    <t>230149237</t>
  </si>
  <si>
    <t>467-468</t>
  </si>
  <si>
    <t>R 4733 W WOODWARD DR CFST</t>
  </si>
  <si>
    <t>230149222</t>
  </si>
  <si>
    <t>477-480</t>
  </si>
  <si>
    <t>R 8981 S 47TH CFST</t>
  </si>
  <si>
    <t>230149130</t>
  </si>
  <si>
    <t>491-492</t>
  </si>
  <si>
    <t>R 4751 W WOODWARD DR CFST</t>
  </si>
  <si>
    <t>230149291</t>
  </si>
  <si>
    <t>493-500</t>
  </si>
  <si>
    <t>R 4748 W JENNA CT CFST</t>
  </si>
  <si>
    <t>230149121</t>
  </si>
  <si>
    <t>501-504</t>
  </si>
  <si>
    <t>R 4720 W HILLTOP LA CFST</t>
  </si>
  <si>
    <t>230149157</t>
  </si>
  <si>
    <t>513-516</t>
  </si>
  <si>
    <t>R 4707 W JENNA CT CFST</t>
  </si>
  <si>
    <t>230149123</t>
  </si>
  <si>
    <t>527-528</t>
  </si>
  <si>
    <t>R 4738 W HILLTOP LA CFST</t>
  </si>
  <si>
    <t>230149187</t>
  </si>
  <si>
    <t>529-536</t>
  </si>
  <si>
    <t>R 9077 S 49TH CFST</t>
  </si>
  <si>
    <t>230149268</t>
  </si>
  <si>
    <t>537-540</t>
  </si>
  <si>
    <t>R 9055 S 49TH CFST</t>
  </si>
  <si>
    <t>230149210</t>
  </si>
  <si>
    <t>551-552</t>
  </si>
  <si>
    <t>F 8972 S 51ST CFST</t>
  </si>
  <si>
    <t>230149172</t>
  </si>
  <si>
    <t>563-564</t>
  </si>
  <si>
    <t>R 4907 W HILLTOP LA CFST</t>
  </si>
  <si>
    <t>230149286</t>
  </si>
  <si>
    <t>565-566</t>
  </si>
  <si>
    <t>R 4741 W HILLTOP LA CFST</t>
  </si>
  <si>
    <t>230149241</t>
  </si>
  <si>
    <t>567-568</t>
  </si>
  <si>
    <t>R 4717 W HILLTOP LA CFST</t>
  </si>
  <si>
    <t>230149251</t>
  </si>
  <si>
    <t>569-570</t>
  </si>
  <si>
    <t>R 9125 S 47TH CFST</t>
  </si>
  <si>
    <t>230149262</t>
  </si>
  <si>
    <t>571-572</t>
  </si>
  <si>
    <t>R 9165 S 47TH CFST</t>
  </si>
  <si>
    <t>230149283</t>
  </si>
  <si>
    <t>573-576</t>
  </si>
  <si>
    <t>R 9178 S WILD BERRY WAY CFST</t>
  </si>
  <si>
    <t>230149129</t>
  </si>
  <si>
    <t>585-586</t>
  </si>
  <si>
    <t>R 9186 S WILD BERRY WAY CFST</t>
  </si>
  <si>
    <t>230149226</t>
  </si>
  <si>
    <t>587-588</t>
  </si>
  <si>
    <t>R 4804 W THORNCREST DR CFST</t>
  </si>
  <si>
    <t>230149306</t>
  </si>
  <si>
    <t>599-600</t>
  </si>
  <si>
    <t>R 9210 WILD BERRY WAY CFST</t>
  </si>
  <si>
    <t>230149202</t>
  </si>
  <si>
    <t>601-608</t>
  </si>
  <si>
    <t>R 9195 S48TH CFST</t>
  </si>
  <si>
    <t>230149132</t>
  </si>
  <si>
    <t>609-612</t>
  </si>
  <si>
    <t>R 9209 S 47TH CFST</t>
  </si>
  <si>
    <t>230149127</t>
  </si>
  <si>
    <t>619-620</t>
  </si>
  <si>
    <t>R 9218 S 48TH CFST</t>
  </si>
  <si>
    <t>230149279</t>
  </si>
  <si>
    <t>621-624</t>
  </si>
  <si>
    <t>R 5080 W CARDINAL LA CFST</t>
  </si>
  <si>
    <t>230149174</t>
  </si>
  <si>
    <t>659-660</t>
  </si>
  <si>
    <t>R 5044 W CARDINAL LA CFST</t>
  </si>
  <si>
    <t>230149249</t>
  </si>
  <si>
    <t>661-662</t>
  </si>
  <si>
    <t>R 5077 W CARDINAL LA CFST</t>
  </si>
  <si>
    <t>230149293</t>
  </si>
  <si>
    <t>663-664</t>
  </si>
  <si>
    <t>R 4981 W CARDINAL LA CFST</t>
  </si>
  <si>
    <t>230149168</t>
  </si>
  <si>
    <t>665-668</t>
  </si>
  <si>
    <t>R 9225 S WILD BERRY WAY CFST</t>
  </si>
  <si>
    <t>230149264</t>
  </si>
  <si>
    <t>669-670</t>
  </si>
  <si>
    <t>R 9245 S 47TH CFST</t>
  </si>
  <si>
    <t>230149138</t>
  </si>
  <si>
    <t>671-672</t>
  </si>
  <si>
    <t>R 9320 S 48TH CFST</t>
  </si>
  <si>
    <t>230149171</t>
  </si>
  <si>
    <t>673-680</t>
  </si>
  <si>
    <t>R 9339 S 47TH CFST</t>
  </si>
  <si>
    <t>230149274</t>
  </si>
  <si>
    <t>681-684</t>
  </si>
  <si>
    <t>R 4701 W SHERWOOD DR CFST</t>
  </si>
  <si>
    <t>230149239</t>
  </si>
  <si>
    <t>693-696</t>
  </si>
  <si>
    <t>R 9113 S 41ST CFST</t>
  </si>
  <si>
    <t>230149136</t>
  </si>
  <si>
    <t>701-702</t>
  </si>
  <si>
    <t>R 4163 W HILLTOP LA CFST</t>
  </si>
  <si>
    <t>230149162</t>
  </si>
  <si>
    <t>703-704</t>
  </si>
  <si>
    <t>R 4128 W MARTINTON DR CFST</t>
  </si>
  <si>
    <t>230149169</t>
  </si>
  <si>
    <t>705-708</t>
  </si>
  <si>
    <t>R 4211 W HILLTOP LA CFST</t>
  </si>
  <si>
    <t>230149287</t>
  </si>
  <si>
    <t>709-712</t>
  </si>
  <si>
    <t>R 4235 W HILLTOP LA CFST</t>
  </si>
  <si>
    <t>230149151</t>
  </si>
  <si>
    <t>713-716</t>
  </si>
  <si>
    <t>R 9113 S 42ND CFST</t>
  </si>
  <si>
    <t>230149246</t>
  </si>
  <si>
    <t>717-720</t>
  </si>
  <si>
    <t>R 4393 W HILLTOP LA CFST</t>
  </si>
  <si>
    <t>230149139</t>
  </si>
  <si>
    <t>721-724</t>
  </si>
  <si>
    <t>R 9125 S 42ND ST CFST</t>
  </si>
  <si>
    <t>230149259</t>
  </si>
  <si>
    <t>725-728</t>
  </si>
  <si>
    <t>R 4396 W THORNCREST DR CFST</t>
  </si>
  <si>
    <t>230149253</t>
  </si>
  <si>
    <t>729-732</t>
  </si>
  <si>
    <t>R 4134 W THORNCREST DR CFST</t>
  </si>
  <si>
    <t>230149212</t>
  </si>
  <si>
    <t>743-746</t>
  </si>
  <si>
    <t>R 4130 W THORNCREST DR CFST</t>
  </si>
  <si>
    <t>230149266</t>
  </si>
  <si>
    <t>747-750</t>
  </si>
  <si>
    <t>R 4129 W MARTINTON DR CFST</t>
  </si>
  <si>
    <t>230149177</t>
  </si>
  <si>
    <t>751-752</t>
  </si>
  <si>
    <t>R 4121 W MARTINTON DR CFST</t>
  </si>
  <si>
    <t>230149282</t>
  </si>
  <si>
    <t>753-756</t>
  </si>
  <si>
    <t>R 9137 S 41ST CFST</t>
  </si>
  <si>
    <t>230149188</t>
  </si>
  <si>
    <t>767-768</t>
  </si>
  <si>
    <t>R 4106 W MCGINNIS DR CFST</t>
  </si>
  <si>
    <t>230149265</t>
  </si>
  <si>
    <t>777-780</t>
  </si>
  <si>
    <t>R 4111 W THORNCREST DR CFST</t>
  </si>
  <si>
    <t>230149194</t>
  </si>
  <si>
    <t>781-784</t>
  </si>
  <si>
    <t>R 4124 W MCGINNIS DR CFST</t>
  </si>
  <si>
    <t>230149275</t>
  </si>
  <si>
    <t>785-788</t>
  </si>
  <si>
    <t>R 4130 W MCGINNIS DR CFST</t>
  </si>
  <si>
    <t>230149228</t>
  </si>
  <si>
    <t>789-792</t>
  </si>
  <si>
    <t>R 9163 S 42ND CFST</t>
  </si>
  <si>
    <t>230149208</t>
  </si>
  <si>
    <t>793-796</t>
  </si>
  <si>
    <t>R 9270 S 44TH CFST</t>
  </si>
  <si>
    <t>230149154</t>
  </si>
  <si>
    <t>797-800</t>
  </si>
  <si>
    <t>R 4300 W SOUTHWOOD DR CFST</t>
  </si>
  <si>
    <t>230149214</t>
  </si>
  <si>
    <t>801-804</t>
  </si>
  <si>
    <t>R 4296 W SOUTHWOOD DR CFST</t>
  </si>
  <si>
    <t>230149175</t>
  </si>
  <si>
    <t>805-808</t>
  </si>
  <si>
    <t>R 4131 W MCGINNIS DR CFST</t>
  </si>
  <si>
    <t>230149185</t>
  </si>
  <si>
    <t>809-812</t>
  </si>
  <si>
    <t>R 4125 W MCGINNIS DR CFST</t>
  </si>
  <si>
    <t>230149244</t>
  </si>
  <si>
    <t>813-816</t>
  </si>
  <si>
    <t>R 4113 W MCGINNIS DR CFST</t>
  </si>
  <si>
    <t>230149158</t>
  </si>
  <si>
    <t>817-820</t>
  </si>
  <si>
    <t>R 4112 W SOUTHWOOD DR CFST</t>
  </si>
  <si>
    <t>230149273</t>
  </si>
  <si>
    <t>821-824</t>
  </si>
  <si>
    <t>R 9211 S 41ST CFST</t>
  </si>
  <si>
    <t>230149170</t>
  </si>
  <si>
    <t>825-828</t>
  </si>
  <si>
    <t>R 4106 W SOUTHWOOD DR CFST</t>
  </si>
  <si>
    <t>230149289</t>
  </si>
  <si>
    <t>829-830</t>
  </si>
  <si>
    <t>R 4105 W SOUTHWOOD DR CFST</t>
  </si>
  <si>
    <t>230149140</t>
  </si>
  <si>
    <t>831-832</t>
  </si>
  <si>
    <t>R 4100 W FIELDVIEW CT CFST</t>
  </si>
  <si>
    <t>230149180</t>
  </si>
  <si>
    <t>833-834</t>
  </si>
  <si>
    <t>R 4111 W SOUTHWOOD DR CFST</t>
  </si>
  <si>
    <t>230149145</t>
  </si>
  <si>
    <t>835-836</t>
  </si>
  <si>
    <t>R 4115 W SOUTHWOOD DR CFST</t>
  </si>
  <si>
    <t>230149167</t>
  </si>
  <si>
    <t>837-840</t>
  </si>
  <si>
    <t>R 4127 W SOUTHWOOD DR CFST</t>
  </si>
  <si>
    <t>230149231</t>
  </si>
  <si>
    <t>841-844</t>
  </si>
  <si>
    <t>R 4145 W SOUTHWOOD DR CFST</t>
  </si>
  <si>
    <t>230149193</t>
  </si>
  <si>
    <t>845-848</t>
  </si>
  <si>
    <t>R 4293 W SOUTHWOOD DR CFST</t>
  </si>
  <si>
    <t>230149178</t>
  </si>
  <si>
    <t>849-850</t>
  </si>
  <si>
    <t>R 4218 W FIELDVIEW CT CFST</t>
  </si>
  <si>
    <t>230149219</t>
  </si>
  <si>
    <t>851-852</t>
  </si>
  <si>
    <t>R 9388 S 43RD ST CFST</t>
  </si>
  <si>
    <t>230149303</t>
  </si>
  <si>
    <t>853-856</t>
  </si>
  <si>
    <t>R 4213 W FIELDVIEW CT CFST</t>
  </si>
  <si>
    <t>230149133</t>
  </si>
  <si>
    <t>857-860</t>
  </si>
  <si>
    <t>R 4125 W FIELDVIEW CT CFST</t>
  </si>
  <si>
    <t>230149272</t>
  </si>
  <si>
    <t>861-864</t>
  </si>
  <si>
    <t>Print.Task</t>
  </si>
  <si>
    <t>FRC</t>
  </si>
  <si>
    <t>WAC</t>
  </si>
  <si>
    <t>Terminal Type</t>
  </si>
  <si>
    <t>Terminal Desc</t>
  </si>
  <si>
    <t>Terminal Count</t>
  </si>
  <si>
    <t>Terminal Address</t>
  </si>
  <si>
    <t>1.499</t>
  </si>
  <si>
    <t>845C</t>
  </si>
  <si>
    <t>TESTP</t>
  </si>
  <si>
    <t>FST</t>
  </si>
  <si>
    <t>EVOLV4/25OTIP</t>
  </si>
  <si>
    <t>["PON4250WRR,61-64"]</t>
  </si>
  <si>
    <t>F 4303 W WOODWARD DR</t>
  </si>
  <si>
    <t>1.546</t>
  </si>
  <si>
    <t>["X,1-1","PON4250WRR,355-355","PON4250WRR,356-356","X,4-4"]</t>
  </si>
  <si>
    <t>F 4444 W CENTRAL AV</t>
  </si>
  <si>
    <t>1.486</t>
  </si>
  <si>
    <t>["X,1-1","PON4250WRR,563-563","PON4250WRR,564-564","X,4-4"]</t>
  </si>
  <si>
    <t>F 8972 S 51ST</t>
  </si>
  <si>
    <t>1.548</t>
  </si>
  <si>
    <t>["PON4250WRR,457-460"]</t>
  </si>
  <si>
    <t>F 9474 S 43RD</t>
  </si>
  <si>
    <t>1.569</t>
  </si>
  <si>
    <t>["X,1-1","PON4250WRR,205-205","PON4250WRR,206-206","X,4-4"]</t>
  </si>
  <si>
    <t>R 4039 W SOUTHWOOD DR</t>
  </si>
  <si>
    <t>1.629</t>
  </si>
  <si>
    <t>["PON4250WRR,435-438"]</t>
  </si>
  <si>
    <t>R 4100 W BARNWOOD CT</t>
  </si>
  <si>
    <t>1.637</t>
  </si>
  <si>
    <t>["PON4250WRR,431-434"]</t>
  </si>
  <si>
    <t>R 4100 W CENTRAL AV</t>
  </si>
  <si>
    <t>1.485</t>
  </si>
  <si>
    <t>["X,1-1","PON4250WRR,833-833","PON4250WRR,834-834","X,4-4"]</t>
  </si>
  <si>
    <t>R 4100 W FIELDVIEW CT</t>
  </si>
  <si>
    <t>1.665</t>
  </si>
  <si>
    <t>["X,1-1","PON4250WRR,467-467","PON4250WRR,468-468","X,4-4"]</t>
  </si>
  <si>
    <t>R 4101 W BARNWOOD CT</t>
  </si>
  <si>
    <t>1.539</t>
  </si>
  <si>
    <t>["PON4250WRR,217-220"]</t>
  </si>
  <si>
    <t>R 4102 W HILLTOP CT</t>
  </si>
  <si>
    <t>1.628</t>
  </si>
  <si>
    <t>["X,1-1","PON4250WRR,831-831","PON4250WRR,832-832","X,4-4"]</t>
  </si>
  <si>
    <t>R 4105 W SOUTHWOOD DR</t>
  </si>
  <si>
    <t>1.550</t>
  </si>
  <si>
    <t>["PON4250WRR,777-780"]</t>
  </si>
  <si>
    <t>R 4106 W MCGINNIS DR</t>
  </si>
  <si>
    <t>1.586</t>
  </si>
  <si>
    <t>["X,1-1","PON4250WRR,829-829","PON4250WRR,830-830","X,4-4"]</t>
  </si>
  <si>
    <t>R 4106 W SOUTHWOOD DR</t>
  </si>
  <si>
    <t>1.488</t>
  </si>
  <si>
    <t>["X,1-1","PON4250WRR,835-835","PON4250WRR,836-836","X,4-4"]</t>
  </si>
  <si>
    <t>R 4111 W SOUTHWOOD DR</t>
  </si>
  <si>
    <t>1.529</t>
  </si>
  <si>
    <t>["PON4250WRR,781-784"]</t>
  </si>
  <si>
    <t>R 4111 W THORNCREST DR</t>
  </si>
  <si>
    <t>1.511</t>
  </si>
  <si>
    <t>["PON4250WRR,821-824"]</t>
  </si>
  <si>
    <t>R 4112 W SOUTHWOOD DR</t>
  </si>
  <si>
    <t>1.498</t>
  </si>
  <si>
    <t>["PON4250WRR,439-442"]</t>
  </si>
  <si>
    <t>R 4113 W CENTRAL AV</t>
  </si>
  <si>
    <t>1.620</t>
  </si>
  <si>
    <t>["PON4250WRR,427-430"]</t>
  </si>
  <si>
    <t>R 4113 W FIELDVIEW CT</t>
  </si>
  <si>
    <t>1.599</t>
  </si>
  <si>
    <t>["PON4250WRR,817-820"]</t>
  </si>
  <si>
    <t>R 4113 W MCGINNIS DR</t>
  </si>
  <si>
    <t>1.526</t>
  </si>
  <si>
    <t>["PON4250WRR,221-224"]</t>
  </si>
  <si>
    <t>R 4114 W HILLTOP CT</t>
  </si>
  <si>
    <t>1.559</t>
  </si>
  <si>
    <t>["PON4250WRR,837-840"]</t>
  </si>
  <si>
    <t>R 4115 W SOUTHWOOD DR</t>
  </si>
  <si>
    <t>1.646</t>
  </si>
  <si>
    <t>["X,1-1","PON4250WRR,466-466","X,4-4","PON4250WRR,465-465"]</t>
  </si>
  <si>
    <t>R 4119 W BARNWOOD CT</t>
  </si>
  <si>
    <t>1.585</t>
  </si>
  <si>
    <t>["PON4250WRR,753-756"]</t>
  </si>
  <si>
    <t>R 4121 W MARTINTON DR</t>
  </si>
  <si>
    <t>1.512</t>
  </si>
  <si>
    <t>["PON4250WRR,785-788"]</t>
  </si>
  <si>
    <t>R 4124 W MCGINNIS DR</t>
  </si>
  <si>
    <t>1.660</t>
  </si>
  <si>
    <t>["X,1-1","PON4250WRR,463-463","PON4250WRR,464-464","X,4-4"]</t>
  </si>
  <si>
    <t>R 4125 W BARNWOOD CT</t>
  </si>
  <si>
    <t>1.510</t>
  </si>
  <si>
    <t>["PON4250WRR,861-864"]</t>
  </si>
  <si>
    <t>R 4125 W FIELDVIEW CT</t>
  </si>
  <si>
    <t>1.619</t>
  </si>
  <si>
    <t>["PON4250WRR,813-816"]</t>
  </si>
  <si>
    <t>R 4125 W MCGINNIS DR</t>
  </si>
  <si>
    <t>1.514</t>
  </si>
  <si>
    <t>["X,1-1","PON4250WRR,225-225","PON4250WRR,226-226","X,4-4"]</t>
  </si>
  <si>
    <t>R 4126 W HILLTOP CT</t>
  </si>
  <si>
    <t>1.659</t>
  </si>
  <si>
    <t>["PON4250WRR,841-844"]</t>
  </si>
  <si>
    <t>R 4127 W SOUTHWOOD DR</t>
  </si>
  <si>
    <t>1.562</t>
  </si>
  <si>
    <t>["PON4250WRR,705-708"]</t>
  </si>
  <si>
    <t>R 4128 W MARTINTON DR</t>
  </si>
  <si>
    <t>1.482</t>
  </si>
  <si>
    <t>["X,1-1","PON4250WRR,751-751","PON4250WRR,752-752","X,4-4"]</t>
  </si>
  <si>
    <t>R 4129 W MARTINTON DR</t>
  </si>
  <si>
    <t>1.656</t>
  </si>
  <si>
    <t>["PON4250WRR,789-792"]</t>
  </si>
  <si>
    <t>R 4130 W MCGINNIS DR</t>
  </si>
  <si>
    <t>1.551</t>
  </si>
  <si>
    <t>["PON4250WRR,747-750"]</t>
  </si>
  <si>
    <t>R 4130 W THORNCREST DR</t>
  </si>
  <si>
    <t>1.501</t>
  </si>
  <si>
    <t>["PON4250WRR,809-812"]</t>
  </si>
  <si>
    <t>R 4131 W MCGINNIS DR</t>
  </si>
  <si>
    <t>1.645</t>
  </si>
  <si>
    <t>["PON4250WRR,743-746"]</t>
  </si>
  <si>
    <t>R 4134 W THORNCREST DR</t>
  </si>
  <si>
    <t>1.528</t>
  </si>
  <si>
    <t>["PON4250WRR,845-848"]</t>
  </si>
  <si>
    <t>R 4145 W SOUTHWOOD DR</t>
  </si>
  <si>
    <t>1.478</t>
  </si>
  <si>
    <t>["X,1-1","PON4250WRR,227-227","PON4250WRR,228-228","X,4-4"]</t>
  </si>
  <si>
    <t>R 4162 W HILLTOP LA</t>
  </si>
  <si>
    <t>1.553</t>
  </si>
  <si>
    <t>["X,1-1","PON4250WRR,703-703","PON4250WRR,704-704","X,4-4"]</t>
  </si>
  <si>
    <t>R 4163 W HILLTOP LA</t>
  </si>
  <si>
    <t>1.497</t>
  </si>
  <si>
    <t>["X,1-1","PON4250WRR,229-229","PON4250WRR,230-230","X,4-4"]</t>
  </si>
  <si>
    <t>R 4174 W HILLTOP LA</t>
  </si>
  <si>
    <t>1.534</t>
  </si>
  <si>
    <t>["X,1-1","PON4250WRR,231-231","PON4250WRR,232-232","X,4-4"]</t>
  </si>
  <si>
    <t>R 4198 W HILLTOP LA</t>
  </si>
  <si>
    <t>1.618</t>
  </si>
  <si>
    <t>["PON4250WRR,443-446"]</t>
  </si>
  <si>
    <t>R 4201 W CENTRAL AV</t>
  </si>
  <si>
    <t>1.648</t>
  </si>
  <si>
    <t>["X,1-1","PON4250WRR,447-447","PON4250WRR,448-448","X,4-4"]</t>
  </si>
  <si>
    <t>R 4206 W BARNWOOD CT</t>
  </si>
  <si>
    <t>1.583</t>
  </si>
  <si>
    <t>["PON4250WRR,709-712"]</t>
  </si>
  <si>
    <t>R 4211 W HILLTOP LA</t>
  </si>
  <si>
    <t>1.631</t>
  </si>
  <si>
    <t>["X,1-1","PON4250WRR,461-461","PON4250WRR,462-462","X,4-4"]</t>
  </si>
  <si>
    <t>R 4213 W BARNWOOD CT</t>
  </si>
  <si>
    <t>1.594</t>
  </si>
  <si>
    <t>["PON4250WRR,857-860"]</t>
  </si>
  <si>
    <t>R 4213 W FIELDVIEW CT</t>
  </si>
  <si>
    <t>1.632</t>
  </si>
  <si>
    <t>["PON4250WRR,449-452"]</t>
  </si>
  <si>
    <t>R 4218 W BARNWOOD CT</t>
  </si>
  <si>
    <t>1.647</t>
  </si>
  <si>
    <t>["X,1-1","PON4250WRR,851-851","PON4250WRR,852-852","X,4-4"]</t>
  </si>
  <si>
    <t>R 4218 W FIELDVIEW CT</t>
  </si>
  <si>
    <t>1.552</t>
  </si>
  <si>
    <t>["X,1-1","PON4250WRR,455-455","PON4250WRR,456-456","X,4-4"]</t>
  </si>
  <si>
    <t>R 4224 W BARNWOOD CT</t>
  </si>
  <si>
    <t>1.604</t>
  </si>
  <si>
    <t>["X,1-1","PON4250WRR,453-453","PON4250WRR,454-454","X,4-4"]</t>
  </si>
  <si>
    <t>R 4227 W CENTRAL AV</t>
  </si>
  <si>
    <t>1.612</t>
  </si>
  <si>
    <t>["PON4250WRR,713-716"]</t>
  </si>
  <si>
    <t>R 4235 W HILLTOP LA</t>
  </si>
  <si>
    <t>1.513</t>
  </si>
  <si>
    <t>["X,1-1","PON4250WRR,233-233","PON4250WRR,234-234","X,4-4"]</t>
  </si>
  <si>
    <t>R 4236 W HILLTOP LA</t>
  </si>
  <si>
    <t>1.530</t>
  </si>
  <si>
    <t>["X,1-1","PON4250WRR,235-235","PON4250WRR,236-236","X,4-4"]</t>
  </si>
  <si>
    <t>R 4248 W HILLTOP LA</t>
  </si>
  <si>
    <t>1.483</t>
  </si>
  <si>
    <t>["X,1-1","PON4250WRR,849-849","PON4250WRR,850-850","X,4-4"]</t>
  </si>
  <si>
    <t>R 4293 W SOUTHWOOD DR</t>
  </si>
  <si>
    <t>1.480</t>
  </si>
  <si>
    <t>["PON4250WRR,805-808"]</t>
  </si>
  <si>
    <t>R 4296 W SOUTHWOOD DR</t>
  </si>
  <si>
    <t>1.641</t>
  </si>
  <si>
    <t>["PON4250WRR,801-804"]</t>
  </si>
  <si>
    <t>R 4300 W SOUTHWOOD DR</t>
  </si>
  <si>
    <t>1.505</t>
  </si>
  <si>
    <t>["X,1-1","PON4250WRR,47-47","PON4250WRR,48-48","X,4-4"]</t>
  </si>
  <si>
    <t>R 4310 W HUNTERS CT</t>
  </si>
  <si>
    <t>1.536</t>
  </si>
  <si>
    <t>["X,1-1","PON4250WRR,419-419","PON4250WRR,420-420","X,4-4"]</t>
  </si>
  <si>
    <t>R 4311 W SHERWOOD DR</t>
  </si>
  <si>
    <t>1.537</t>
  </si>
  <si>
    <t>["PON4250WRR,391-394"]</t>
  </si>
  <si>
    <t>R 4321 W CENTRAL AV</t>
  </si>
  <si>
    <t>1.568</t>
  </si>
  <si>
    <t>["X,1-1","PON4250WRR,59-59","PON4250WRR,60-60","X,4-4"]</t>
  </si>
  <si>
    <t>R 4342 W WOODWARD DR</t>
  </si>
  <si>
    <t>1.493</t>
  </si>
  <si>
    <t>["X,1-1","PON4250WRR,45-45","PON4250WRR,46-46","X,4-4"]</t>
  </si>
  <si>
    <t>R 4344 W HUNTERS CT</t>
  </si>
  <si>
    <t>1.555</t>
  </si>
  <si>
    <t>EVOLV8/25OTIP</t>
  </si>
  <si>
    <t>["PON4250WRR,337-344"]</t>
  </si>
  <si>
    <t>R 4368 W CENTRAL AV</t>
  </si>
  <si>
    <t>1.622</t>
  </si>
  <si>
    <t>["PON4250WRR,395-398"]</t>
  </si>
  <si>
    <t>R 4374 W SHERWOOD DR</t>
  </si>
  <si>
    <t>1.627</t>
  </si>
  <si>
    <t>["PON4250WRR,721-724"]</t>
  </si>
  <si>
    <t>R 4393 W HILLTOP LA</t>
  </si>
  <si>
    <t>1.574</t>
  </si>
  <si>
    <t>["PON4250WRR,729-732"]</t>
  </si>
  <si>
    <t>R 4396 W THORNCREST DR</t>
  </si>
  <si>
    <t>1.587</t>
  </si>
  <si>
    <t>["X,1-1","PON4250WRR,237-237","PON4250WRR,238-238","X,4-4"]</t>
  </si>
  <si>
    <t>R 4406 W HILLTOP LA</t>
  </si>
  <si>
    <t>1.617</t>
  </si>
  <si>
    <t>["X,1-1","PON4250WRR,417-417","PON4250WRR,418-418","X,4-4"]</t>
  </si>
  <si>
    <t>R 4407 W SHERWOOD DR</t>
  </si>
  <si>
    <t>1.607</t>
  </si>
  <si>
    <t>["PON4250WRR,403-406"]</t>
  </si>
  <si>
    <t>R 4413 W CENTRAL AV</t>
  </si>
  <si>
    <t>1.644</t>
  </si>
  <si>
    <t>["PON4250WRR,261-264"]</t>
  </si>
  <si>
    <t>R 4415 W HILLTOP LA</t>
  </si>
  <si>
    <t>1.661</t>
  </si>
  <si>
    <t>["X,1-1","PON4250WRR,415-415","PON4250WRR,416-416","X,4-4"]</t>
  </si>
  <si>
    <t>R 4419 W SHERWOOD DR</t>
  </si>
  <si>
    <t>1.601</t>
  </si>
  <si>
    <t>["PON4250WRR,345-348"]</t>
  </si>
  <si>
    <t>R 4420 W CENTRAL AV</t>
  </si>
  <si>
    <t>1.519</t>
  </si>
  <si>
    <t>["X,1-1","PON4250WRR,407-407","PON4250WRR,408-408","X,4-4"]</t>
  </si>
  <si>
    <t>R 4421 W CENTRAL AV</t>
  </si>
  <si>
    <t>1.525</t>
  </si>
  <si>
    <t>["PON4250WRR,357-360"]</t>
  </si>
  <si>
    <t>R 4434 W CENTRAL AV</t>
  </si>
  <si>
    <t>1.567</t>
  </si>
  <si>
    <t>["PON4250WRR,399-402"]</t>
  </si>
  <si>
    <t>R 4438 W SHERWOOD DR</t>
  </si>
  <si>
    <t>1.602</t>
  </si>
  <si>
    <t>["PON4250WRR,411-414"]</t>
  </si>
  <si>
    <t>R 4441 W SHERWOOD DR</t>
  </si>
  <si>
    <t>1.635</t>
  </si>
  <si>
    <t>["X,1-1","PON4250WRR,311-311","PON4250WRR,312-312","X,4-4"]</t>
  </si>
  <si>
    <t>R 4443 W CENTRAL AV</t>
  </si>
  <si>
    <t>1.639</t>
  </si>
  <si>
    <t>["X,1-1","PON4250WRR,309-309","PON4250WRR,310-310","X,4-4"]</t>
  </si>
  <si>
    <t>R 4445 W CENTRAL AV</t>
  </si>
  <si>
    <t>1.577</t>
  </si>
  <si>
    <t>["X,1-1","PON4250WRR,303-303","PON4250WRR,304-304","X,4-4"]</t>
  </si>
  <si>
    <t>R 4451 W CENTRAL AV</t>
  </si>
  <si>
    <t>1.533</t>
  </si>
  <si>
    <t>["PON4250WRR,65-68"]</t>
  </si>
  <si>
    <t>R 4471 W JENNA DR</t>
  </si>
  <si>
    <t>1.571</t>
  </si>
  <si>
    <t>["X,1-1","PON4250WRR,71-71","PON4250WRR,72-72","X,4-4"]</t>
  </si>
  <si>
    <t>R 4476 W JENNA DR</t>
  </si>
  <si>
    <t>1.595</t>
  </si>
  <si>
    <t>["X,1-1","PON4250WRR,279-279","PON4250WRR,280-280","X,4-4"]</t>
  </si>
  <si>
    <t>R 4476 W THORNCREST DR</t>
  </si>
  <si>
    <t>1.614</t>
  </si>
  <si>
    <t>["X,1-1","PON4250WRR,305-305","PON4250WRR,306-306","X,4-4"]</t>
  </si>
  <si>
    <t>R 4477 W THORNCREST DR</t>
  </si>
  <si>
    <t>1.556</t>
  </si>
  <si>
    <t>["X,1-1","PON4250WRR,85-85","PON4250WRR,86-86","X,4-4"]</t>
  </si>
  <si>
    <t>R 4501 W JENNA DR</t>
  </si>
  <si>
    <t>1.490</t>
  </si>
  <si>
    <t>["X,4-4","X,1-1","PON4250WRR,307-307","PON4250WRR,308-308"]</t>
  </si>
  <si>
    <t>R 4507 W THORNCREST DR</t>
  </si>
  <si>
    <t>1.608</t>
  </si>
  <si>
    <t>["PON4250WRR,283-286"]</t>
  </si>
  <si>
    <t>R 4511 W MARTINTON CT</t>
  </si>
  <si>
    <t>1.531</t>
  </si>
  <si>
    <t>["X,1-1","PON4250WRR,87-87","PON4250WRR,88-88","X,4-4"]</t>
  </si>
  <si>
    <t>R 4515 W JENNA DR</t>
  </si>
  <si>
    <t>1.507</t>
  </si>
  <si>
    <t>["PON4250WRR,39-42"]</t>
  </si>
  <si>
    <t>R 4522 W WOODWARD DR</t>
  </si>
  <si>
    <t>1.540</t>
  </si>
  <si>
    <t>["X,4-4","X,1-1","PON4250WRR,69-69","PON4250WRR,70-70"]</t>
  </si>
  <si>
    <t>R 4525 W WOODWARD DR</t>
  </si>
  <si>
    <t>1.651</t>
  </si>
  <si>
    <t>["X,1-1","PON4250WRR,117-117","PON4250WRR,118-118","X,4-4"]</t>
  </si>
  <si>
    <t>R 4536 W HILLTOP LA</t>
  </si>
  <si>
    <t>1.576</t>
  </si>
  <si>
    <t>["PON4250WRR,265-268"]</t>
  </si>
  <si>
    <t>R 4536 W MARTINTON CT</t>
  </si>
  <si>
    <t>1.495</t>
  </si>
  <si>
    <t>["X,1-1","PON4250WRR,287-287","PON4250WRR,288-288","X,4-4"]</t>
  </si>
  <si>
    <t>R 4537 W MARTINTON CT</t>
  </si>
  <si>
    <t>1.613</t>
  </si>
  <si>
    <t>["PON4250WRR,297-300"]</t>
  </si>
  <si>
    <t>R 4540 W THORNCREST DR</t>
  </si>
  <si>
    <t>1.481</t>
  </si>
  <si>
    <t>["X,1-1","PON4250WRR,37-37","PON4250WRR,38-38","X,4-4"]</t>
  </si>
  <si>
    <t>R 4542 W WOODWARD DR</t>
  </si>
  <si>
    <t>1.508</t>
  </si>
  <si>
    <t>["X,1-1","PON4250WRR,89-89","PON4250WRR,90-90","X,4-4"]</t>
  </si>
  <si>
    <t>R 4545 W JENNA DR</t>
  </si>
  <si>
    <t>1.609</t>
  </si>
  <si>
    <t>["X,1-1","PON4250WRR,119-119","PON4250WRR,120-120","X,4-4"]</t>
  </si>
  <si>
    <t>R 4548 W HILLTOP LA</t>
  </si>
  <si>
    <t>1.611</t>
  </si>
  <si>
    <t>["PON4250WRR,81-84"]</t>
  </si>
  <si>
    <t>R 4549 W WOODWARD DR</t>
  </si>
  <si>
    <t>1.664</t>
  </si>
  <si>
    <t>["PON4250WRR,293-296"]</t>
  </si>
  <si>
    <t>R 4550 W THORNCREST DR</t>
  </si>
  <si>
    <t>1.520</t>
  </si>
  <si>
    <t>["PON4250WRR,273-276"]</t>
  </si>
  <si>
    <t>R 4562 W MARTINTON CT</t>
  </si>
  <si>
    <t>1.487</t>
  </si>
  <si>
    <t>["X,1-1","PON4250WRR,91-91","PON4250WRR,92-92","X,4-4"]</t>
  </si>
  <si>
    <t>R 4627 W JENNA DR</t>
  </si>
  <si>
    <t>1.633</t>
  </si>
  <si>
    <t>["X,1-1","PON4250WRR,35-35","PON4250WRR,36-36","X,4-4"]</t>
  </si>
  <si>
    <t>R 4630 W WOODWARD DR</t>
  </si>
  <si>
    <t>1.521</t>
  </si>
  <si>
    <t>["PON4250WRR,77-80"]</t>
  </si>
  <si>
    <t>R 4631 W WOODWARD DR</t>
  </si>
  <si>
    <t>1.652</t>
  </si>
  <si>
    <t>["PON4250WRR,93-93","X,1-1","PON4250WRR,94-94","X,4-4"]</t>
  </si>
  <si>
    <t>R 4641 W JENNA DR</t>
  </si>
  <si>
    <t>1.492</t>
  </si>
  <si>
    <t>["X,1-1","PON4250WRR,153-153","PON4250WRR,154-154","X,4-4"]</t>
  </si>
  <si>
    <t>R 4645 W SHERWOOD DR</t>
  </si>
  <si>
    <t>1.489</t>
  </si>
  <si>
    <t>["PON4250WRR,122-122","X,1-1","PON4250WRR,121-121","X,4-4"]</t>
  </si>
  <si>
    <t>R 4656 W HILLTOP LN</t>
  </si>
  <si>
    <t>1.566</t>
  </si>
  <si>
    <t>["X,1-1","PON4250WRR,33-33","PON4250WRR,34-34","X,4-4"]</t>
  </si>
  <si>
    <t>R 4658 W WOODWARD DR</t>
  </si>
  <si>
    <t>1.494</t>
  </si>
  <si>
    <t>["PON4250WRR,693-696"]</t>
  </si>
  <si>
    <t>R 4701 W SHERWOOD DR</t>
  </si>
  <si>
    <t>1.524</t>
  </si>
  <si>
    <t>["X,1-1","PON4250WRR,527-527","PON4250WRR,528-528","X,4-4"]</t>
  </si>
  <si>
    <t>R 4707 W JENNA CT</t>
  </si>
  <si>
    <t>1.572</t>
  </si>
  <si>
    <t>["X,1-1","PON4250WRR,569-569","PON4250WRR,570-570","X,4-4"]</t>
  </si>
  <si>
    <t>R 4717 W HILLTOP LA</t>
  </si>
  <si>
    <t>1.598</t>
  </si>
  <si>
    <t>["PON4250WRR,513-516"]</t>
  </si>
  <si>
    <t>R 4720 W HILLTOP LA</t>
  </si>
  <si>
    <t>1.517</t>
  </si>
  <si>
    <t>["X,1-1","PON4250WRR,31-31","PON4250WRR,32-32","X,4-4"]</t>
  </si>
  <si>
    <t>R 4732 W WOODWARD DR</t>
  </si>
  <si>
    <t>1.650</t>
  </si>
  <si>
    <t>["PON4250WRR,477-480"]</t>
  </si>
  <si>
    <t>R 4733 W WOODWARD DR</t>
  </si>
  <si>
    <t>1.563</t>
  </si>
  <si>
    <t>["PON4250WRR,529-536"]</t>
  </si>
  <si>
    <t>R 4738 W HILLTOP LA</t>
  </si>
  <si>
    <t>1.616</t>
  </si>
  <si>
    <t>["X,1-1","PON4250WRR,567-567","PON4250WRR,568-568","X,4-4"]</t>
  </si>
  <si>
    <t>R 4741 W HILLTOP LA</t>
  </si>
  <si>
    <t>1.522</t>
  </si>
  <si>
    <t>["PON4250WRR,501-504"]</t>
  </si>
  <si>
    <t>R 4748 W JENNA CT</t>
  </si>
  <si>
    <t>1.610</t>
  </si>
  <si>
    <t>["X,1-1","PON4250WRR,29-29","PON4250WRR,30-30","X,4-4"]</t>
  </si>
  <si>
    <t>R 4750 W WOODWARD DR</t>
  </si>
  <si>
    <t>1.605</t>
  </si>
  <si>
    <t>["PON4250WRR,493-500"]</t>
  </si>
  <si>
    <t>R 4751 W WOODWARD DR</t>
  </si>
  <si>
    <t>1.638</t>
  </si>
  <si>
    <t>["X,1-1","PON4250WRR,599-599","PON4250WRR,600-600","X,4-4"]</t>
  </si>
  <si>
    <t>R 4804 W THORNCREST DR</t>
  </si>
  <si>
    <t>1.582</t>
  </si>
  <si>
    <t>["X,1-1","PON4250WRR,565-565","PON4250WRR,566-566","X,4-4"]</t>
  </si>
  <si>
    <t>R 4907 W HILLTOP LA</t>
  </si>
  <si>
    <t>1.561</t>
  </si>
  <si>
    <t>["PON4250WRR,665-668"]</t>
  </si>
  <si>
    <t>R 4981 W CARDINAL LA</t>
  </si>
  <si>
    <t>1.570</t>
  </si>
  <si>
    <t>["X,1-1","PON4250WRR,661-661","PON4250WRR,662-662","X,4-4"]</t>
  </si>
  <si>
    <t>R 5044 W CARDINAL LA</t>
  </si>
  <si>
    <t>1.603</t>
  </si>
  <si>
    <t>["X,1-1","PON4250WRR,663-663","PON4250WRR,664-664","X,4-4"]</t>
  </si>
  <si>
    <t>R 5077 W CARDINAL LA</t>
  </si>
  <si>
    <t>1.479</t>
  </si>
  <si>
    <t>["X,1-1","PON4250WRR,659-659","PON4250WRR,660-660","X,4-4"]</t>
  </si>
  <si>
    <t>R 5080 W CARDINAL LA</t>
  </si>
  <si>
    <t>1.509</t>
  </si>
  <si>
    <t>["X,1-1","PON4250WRR,43-43","PON4250WRR,44-44","X,4-4"]</t>
  </si>
  <si>
    <t>R 8905 S 45TH</t>
  </si>
  <si>
    <t>1.597</t>
  </si>
  <si>
    <t>["PON4250WRR,55-58"]</t>
  </si>
  <si>
    <t>R 8932 S 45TH</t>
  </si>
  <si>
    <t>1.590</t>
  </si>
  <si>
    <t>["X,1-1","PON4250WRR,491-491","PON4250WRR,492-492","X,4-4"]</t>
  </si>
  <si>
    <t>R 8981 S 47TH</t>
  </si>
  <si>
    <t>1.578</t>
  </si>
  <si>
    <t>["X,1-1","PON4250WRR,107-107","PON4250WRR,108-108","X,4-4"]</t>
  </si>
  <si>
    <t>R 9002 S DEERBROOKE CT</t>
  </si>
  <si>
    <t>1.649</t>
  </si>
  <si>
    <t>["X,1-1","PON4250WRR,109-109","PON4250WRR,110-110","X,4-4"]</t>
  </si>
  <si>
    <t>R 9025 S DEERBROOKE CT</t>
  </si>
  <si>
    <t>1.491</t>
  </si>
  <si>
    <t>["X,1-1","PON4250WRR,249-249","PON4250WRR,250-250","X,4-4"]</t>
  </si>
  <si>
    <t>R 9026 S DEERBROOKE CT</t>
  </si>
  <si>
    <t>1.558</t>
  </si>
  <si>
    <t>["X,1-1","PON4250WRR,111-111","PON4250WRR,112-112","X,4-4"]</t>
  </si>
  <si>
    <t>R 9037 S DEERBROOKE CT</t>
  </si>
  <si>
    <t>1.588</t>
  </si>
  <si>
    <t>["X,1-1","PON4250WRR,251-251","PON4250WRR,252-252","X,4-4"]</t>
  </si>
  <si>
    <t>R 9038 S DEERBROOKE CT</t>
  </si>
  <si>
    <t>1.653</t>
  </si>
  <si>
    <t>["X,1-1","PON4250WRR,95-95","PON4250WRR,96-96","X,4-4"]</t>
  </si>
  <si>
    <t>R 9054 S 47TH</t>
  </si>
  <si>
    <t>1.504</t>
  </si>
  <si>
    <t>["X,1-1","PON4250WRR,551-551","PON4250WRR,552-552","X,4-4"]</t>
  </si>
  <si>
    <t>R 9055 S 49TH</t>
  </si>
  <si>
    <t>1.596</t>
  </si>
  <si>
    <t>["PON4250WRR,113-116"]</t>
  </si>
  <si>
    <t>R 9059 DEERBROOKE CT</t>
  </si>
  <si>
    <t>1.500</t>
  </si>
  <si>
    <t>["X,1-1","PON4250WRR,239-239","PON4250WRR,240-240","X,4-4"]</t>
  </si>
  <si>
    <t>R 9062 S DEERBROOKE CT</t>
  </si>
  <si>
    <t>1.506</t>
  </si>
  <si>
    <t>["PON4250WRR,537-540"]</t>
  </si>
  <si>
    <t>R 9077 S 49TH</t>
  </si>
  <si>
    <t>1.591</t>
  </si>
  <si>
    <t>["PON4250WRR,269-272"]</t>
  </si>
  <si>
    <t>R 9110 S 46TH</t>
  </si>
  <si>
    <t>1.662</t>
  </si>
  <si>
    <t>["X,1-1","PON4250WRR,123-123","PON4250WRR,124-124","X,4-4"]</t>
  </si>
  <si>
    <t>R 9112 S 47TH</t>
  </si>
  <si>
    <t>1.624</t>
  </si>
  <si>
    <t>["X,1-1","PON4250WRR,701-701","PON4250WRR,702-702","X,4-4"]</t>
  </si>
  <si>
    <t>R 9113 S 41ST</t>
  </si>
  <si>
    <t>1.621</t>
  </si>
  <si>
    <t>["PON4250WRR,717-720"]</t>
  </si>
  <si>
    <t>R 9113 S 42ND</t>
  </si>
  <si>
    <t>1.584</t>
  </si>
  <si>
    <t>["X,1-1","PON4250WRR,215-215","PON4250WRR,216-216","X,4-4"]</t>
  </si>
  <si>
    <t>R 9118 S 41ST</t>
  </si>
  <si>
    <t>1.544</t>
  </si>
  <si>
    <t>["PON4250WRR,725-728"]</t>
  </si>
  <si>
    <t>R 9125 S 42ND ST</t>
  </si>
  <si>
    <t>1.547</t>
  </si>
  <si>
    <t>["X,1-1","PON4250WRR,571-571","PON4250WRR,572-572","X,4-4"]</t>
  </si>
  <si>
    <t>R 9125 S 47TH</t>
  </si>
  <si>
    <t>1.580</t>
  </si>
  <si>
    <t>["PON4250WRR,125-128"]</t>
  </si>
  <si>
    <t>R 9130 S 47TH</t>
  </si>
  <si>
    <t>1.564</t>
  </si>
  <si>
    <t>["X,1-1","PON4250WRR,767-767","PON4250WRR,768-768","X,4-4"]</t>
  </si>
  <si>
    <t>R 9137 S 41ST</t>
  </si>
  <si>
    <t>1.600</t>
  </si>
  <si>
    <t>["X,1-1","PON4250WRR,213-213","PON4250WRR,214-214","X,4-4"]</t>
  </si>
  <si>
    <t>R 9154 S 41ST ST</t>
  </si>
  <si>
    <t>1.541</t>
  </si>
  <si>
    <t>["PON4250WRR,793-796"]</t>
  </si>
  <si>
    <t>R 9163 S 42ND</t>
  </si>
  <si>
    <t>1.579</t>
  </si>
  <si>
    <t>["PON4250WRR,573-576"]</t>
  </si>
  <si>
    <t>R 9165 S 47TH</t>
  </si>
  <si>
    <t>1.535</t>
  </si>
  <si>
    <t>["X,1-1","PON4250WRR,211-211","PON4250WRR,212-212","X,4-4"]</t>
  </si>
  <si>
    <t>R 9170 S 41ST</t>
  </si>
  <si>
    <t>1.589</t>
  </si>
  <si>
    <t>["X,1-1","PON4250WRR,585-585","PON4250WRR,586-586","X,4-4"]</t>
  </si>
  <si>
    <t>R 9178 S WILD BERRY WAY</t>
  </si>
  <si>
    <t>1.532</t>
  </si>
  <si>
    <t>["PON4250WRR,289-292"]</t>
  </si>
  <si>
    <t>R 9180 S 46TH</t>
  </si>
  <si>
    <t>1.484</t>
  </si>
  <si>
    <t>["PON4250WRR,129-132"]</t>
  </si>
  <si>
    <t>R 9184 S 47TH</t>
  </si>
  <si>
    <t>1.654</t>
  </si>
  <si>
    <t>["X,1-1","PON4250WRR,587-587","X,4-4","PON4250WRR,588-588"]</t>
  </si>
  <si>
    <t>R 9186 S WILD BERRY WAY</t>
  </si>
  <si>
    <t>1.592</t>
  </si>
  <si>
    <t>["PON4250WRR,609-612"]</t>
  </si>
  <si>
    <t>R 9195 S48TH</t>
  </si>
  <si>
    <t>1.543</t>
  </si>
  <si>
    <t>["X,1-1","PON4250WRR,209-209","PON4250WRR,210-210","X,4-4"]</t>
  </si>
  <si>
    <t>R 9200 S 41ST</t>
  </si>
  <si>
    <t>1.643</t>
  </si>
  <si>
    <t>["X,1-1","PON4250WRR,207-207","PON4250WRR,208-208","X,4-4"]</t>
  </si>
  <si>
    <t>R 9208 S 41ST</t>
  </si>
  <si>
    <t>1.663</t>
  </si>
  <si>
    <t>["X,1-1","PON4250WRR,281-281","PON4250WRR,282-282","X,4-4"]</t>
  </si>
  <si>
    <t>R 9209 S 44TH</t>
  </si>
  <si>
    <t>1.593</t>
  </si>
  <si>
    <t>["X,1-1","PON4250WRR,619-619","PON4250WRR,620-620","X,4-4"]</t>
  </si>
  <si>
    <t>R 9209 S 47TH</t>
  </si>
  <si>
    <t>1.542</t>
  </si>
  <si>
    <t>["PON4250WRR,601-608"]</t>
  </si>
  <si>
    <t>R 9210 WILD BERRY WAY</t>
  </si>
  <si>
    <t>1.554</t>
  </si>
  <si>
    <t>["PON4250WRR,825-828"]</t>
  </si>
  <si>
    <t>R 9211 S 41ST</t>
  </si>
  <si>
    <t>1.573</t>
  </si>
  <si>
    <t>["PON4250WRR,201-204"]</t>
  </si>
  <si>
    <t>R 9216 S 41ST</t>
  </si>
  <si>
    <t>1.516</t>
  </si>
  <si>
    <t>["PON4250WRR,621-624"]</t>
  </si>
  <si>
    <t>R 9218 S 48TH</t>
  </si>
  <si>
    <t>1.549</t>
  </si>
  <si>
    <t>["X,1-1","PON4250WRR,669-669","PON4250WRR,670-670","X,4-4"]</t>
  </si>
  <si>
    <t>R 9225 S WILD BERRY WAY</t>
  </si>
  <si>
    <t>1.606</t>
  </si>
  <si>
    <t>["X,1-1","PON4250WRR,191-191","PON4250WRR,192-192","X,4-4"]</t>
  </si>
  <si>
    <t>R 9232 S OAK CREEK CT</t>
  </si>
  <si>
    <t>1.642</t>
  </si>
  <si>
    <t>["PON4250WRR,177-180"]</t>
  </si>
  <si>
    <t>R 9236 S 41ST</t>
  </si>
  <si>
    <t>1.630</t>
  </si>
  <si>
    <t>["PON4250WRR,133-136"]</t>
  </si>
  <si>
    <t>R 9241 S 46TH</t>
  </si>
  <si>
    <t>1.626</t>
  </si>
  <si>
    <t>["PON4250WRR,672-672","X,1-1","PON4250WRR,671-671","X,4-4"]</t>
  </si>
  <si>
    <t>R 9245 S 47TH</t>
  </si>
  <si>
    <t>1.625</t>
  </si>
  <si>
    <t>["PON4250WRR,379-382"]</t>
  </si>
  <si>
    <t>R 9250 S 46TH</t>
  </si>
  <si>
    <t>1.655</t>
  </si>
  <si>
    <t>["PON4250WRR,137-140"]</t>
  </si>
  <si>
    <t>R 9261 S 46TH</t>
  </si>
  <si>
    <t>1.615</t>
  </si>
  <si>
    <t>["PON4250WRR,797-800"]</t>
  </si>
  <si>
    <t>R 9270 S 44TH</t>
  </si>
  <si>
    <t>1.636</t>
  </si>
  <si>
    <t>["X,1-1","PON4250WRR,189-189","PON4250WRR,190-190","X,4-4"]</t>
  </si>
  <si>
    <t>R 9304 S OAK CREEK DR</t>
  </si>
  <si>
    <t>1.557</t>
  </si>
  <si>
    <t>["X,1-1","PON4250WRR,383-383","PON4250WRR,384-384","X,4-4"]</t>
  </si>
  <si>
    <t>R 9310 S 46TH</t>
  </si>
  <si>
    <t>1.496</t>
  </si>
  <si>
    <t>["PON4250WRR,141-144"]</t>
  </si>
  <si>
    <t>R 9311 S 46TH</t>
  </si>
  <si>
    <t>1.565</t>
  </si>
  <si>
    <t>["PON4250WRR,185-188"]</t>
  </si>
  <si>
    <t>R 9311 S OAK CREEK CT</t>
  </si>
  <si>
    <t>1.502</t>
  </si>
  <si>
    <t>["PON4250WRR,181-184"]</t>
  </si>
  <si>
    <t>R 9314 S 41ST</t>
  </si>
  <si>
    <t>1.560</t>
  </si>
  <si>
    <t>["PON4250WRR,673-680"]</t>
  </si>
  <si>
    <t>R 9320 S 48TH</t>
  </si>
  <si>
    <t>1.545</t>
  </si>
  <si>
    <t>["X,1-1","PON4250WRR,315-315","PON4250WRR,316-316","X,4-4"]</t>
  </si>
  <si>
    <t>R 9325 S 43RD</t>
  </si>
  <si>
    <t>1.527</t>
  </si>
  <si>
    <t>["PON4250WRR,361-368"]</t>
  </si>
  <si>
    <t>R 9339 S 44TH CT</t>
  </si>
  <si>
    <t>1.518</t>
  </si>
  <si>
    <t>["PON4250WRR,681-684"]</t>
  </si>
  <si>
    <t>R 9339 S 47TH</t>
  </si>
  <si>
    <t>1.575</t>
  </si>
  <si>
    <t>["PON4250WRR,317-320"]</t>
  </si>
  <si>
    <t>R 9340 S 44TH CT</t>
  </si>
  <si>
    <t>1.515</t>
  </si>
  <si>
    <t>["PON4250WRR,149-152"]</t>
  </si>
  <si>
    <t>R 9340 S 47TH</t>
  </si>
  <si>
    <t>1.657</t>
  </si>
  <si>
    <t>["PON4250WRR,321-324"]</t>
  </si>
  <si>
    <t>R 9350 S 44TH CT</t>
  </si>
  <si>
    <t>1.658</t>
  </si>
  <si>
    <t>["PON4250WRR,369-372"]</t>
  </si>
  <si>
    <t>R 9360 S 46TH</t>
  </si>
  <si>
    <t>1.523</t>
  </si>
  <si>
    <t>["X,1-1","PON4250WRR,409-409","PON4250WRR,410-410","X,4-4"]</t>
  </si>
  <si>
    <t>R 9370 S 46TH</t>
  </si>
  <si>
    <t>1.634</t>
  </si>
  <si>
    <t>["PON4250WRR,853-856"]</t>
  </si>
  <si>
    <t>R 9388 S 43RD ST</t>
  </si>
  <si>
    <t>1.581</t>
  </si>
  <si>
    <t>["PON4250WRR,333-336"]</t>
  </si>
  <si>
    <t>R 9391 S 43RD</t>
  </si>
  <si>
    <t>1.623</t>
  </si>
  <si>
    <t>["X,1-1","PON4250WRR,167-167","PON4250WRR,168-168","X,4-4"]</t>
  </si>
  <si>
    <t>R 9404 S 41ST</t>
  </si>
  <si>
    <t>1.640</t>
  </si>
  <si>
    <t>["X,1-1","PON4250WRR,165-165","PON4250WRR,166-166","X,4-4"]</t>
  </si>
  <si>
    <t>R 9412 S 41ST</t>
  </si>
  <si>
    <t>1.538</t>
  </si>
  <si>
    <t>["X,1-1","PON4250WRR,157-157","PON4250WRR,158-158","X,4-4"]</t>
  </si>
  <si>
    <t>R 9428 S 41ST</t>
  </si>
  <si>
    <t>1.503</t>
  </si>
  <si>
    <t>["X,1-1","PON4250WRR,155-155","PON4250WRR,156-156","X,4-4"]</t>
  </si>
  <si>
    <t>R 9461 S 46TH</t>
  </si>
  <si>
    <t>Applied filters:
Show Table Visual is 1
cfas_project_nbr contains 'a051jax'</t>
  </si>
  <si>
    <t>Open Flag</t>
  </si>
  <si>
    <t>Col D</t>
  </si>
  <si>
    <t>Col H</t>
  </si>
  <si>
    <t>C</t>
  </si>
  <si>
    <t>T</t>
  </si>
  <si>
    <t>WIBPEEF1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</si>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</sst>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name val="Calibri"/>
      <charset val="1"/>
    </font>
    <font>
      <b/>
      <sz val="11"/>
      <name val="Calibri"/>
      <charset val="1"/>
    </font>
    <font>
      <sz val="11"/>
      <name val="Aptos Narrow"/>
      <family val="2"/>
      <charset val="1"/>
    </font>
    <font>
      <b/>
      <sz val="11"/>
      <name val="Cambria"/>
      <charset val="1"/>
    </font>
    <font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79646"/>
      </patternFill>
    </fill>
    <fill>
      <patternFill patternType="solid">
        <fgColor rgb="FF00B050"/>
        <bgColor rgb="FF008080"/>
      </patternFill>
    </fill>
    <fill>
      <patternFill patternType="solid">
        <fgColor theme="9"/>
        <bgColor rgb="FFFF8080"/>
      </patternFill>
    </fill>
    <fill>
      <patternFill patternType="solid">
        <fgColor rgb="FFFFFFFF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05496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Font="1" applyBorder="1" applyAlignment="1">
      <alignment horizontal="left"/>
    </xf>
    <xf numFmtId="3" fontId="0" fillId="0" borderId="3" xfId="0" applyNumberForma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" xfId="0" applyFont="1" applyFill="1" applyBorder="1" applyAlignment="1">
      <alignment horizontal="left"/>
    </xf>
    <xf numFmtId="3" fontId="0" fillId="3" borderId="3" xfId="0" applyNumberFormat="1" applyFill="1" applyBorder="1" applyAlignment="1">
      <alignment horizontal="center"/>
    </xf>
    <xf numFmtId="0" fontId="0" fillId="0" borderId="4" xfId="0" applyFont="1" applyBorder="1" applyAlignment="1"/>
    <xf numFmtId="0" fontId="0" fillId="4" borderId="0" xfId="0" applyFont="1" applyFill="1" applyAlignment="1"/>
    <xf numFmtId="0" fontId="0" fillId="5" borderId="0" xfId="0" applyFont="1" applyFill="1" applyAlignment="1"/>
    <xf numFmtId="0" fontId="0" fillId="6" borderId="0" xfId="0" applyFont="1" applyFill="1" applyAlignment="1"/>
    <xf numFmtId="0" fontId="3" fillId="4" borderId="0" xfId="0" applyFont="1" applyFill="1" applyAlignment="1"/>
    <xf numFmtId="0" fontId="0" fillId="0" borderId="0" xfId="0" applyFont="1" applyAlignment="1">
      <alignment wrapText="1"/>
    </xf>
    <xf numFmtId="0" fontId="0" fillId="0" borderId="5" xfId="0" applyBorder="1" applyAlignment="1"/>
    <xf numFmtId="0" fontId="4" fillId="0" borderId="0" xfId="0" applyFont="1"/>
    <xf numFmtId="0" fontId="5" fillId="7" borderId="5" xfId="0" applyFont="1" applyFill="1" applyBorder="1" applyAlignment="1">
      <alignment horizontal="left" vertical="center" wrapText="1" indent="1"/>
    </xf>
    <xf numFmtId="0" fontId="0" fillId="7" borderId="5" xfId="0" applyFill="1" applyBorder="1" applyAlignment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79646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403200</xdr:colOff>
      <xdr:row>1</xdr:row>
      <xdr:rowOff>32040</xdr:rowOff>
    </xdr:from>
    <xdr:to>
      <xdr:col>12</xdr:col>
      <xdr:colOff>498240</xdr:colOff>
      <xdr:row>2</xdr:row>
      <xdr:rowOff>21960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707400" y="260640"/>
          <a:ext cx="799560" cy="799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3"/>
  <sheetViews>
    <sheetView tabSelected="1" zoomScaleNormal="100" workbookViewId="0">
      <pane ySplit="5" topLeftCell="A6" activePane="bottomLeft" state="frozen"/>
      <selection pane="bottomLeft" activeCell="R8" sqref="R8"/>
    </sheetView>
  </sheetViews>
  <sheetFormatPr defaultColWidth="8.7421875" defaultRowHeight="15" x14ac:dyDescent="0.2"/>
  <cols>
    <col min="1" max="1" width="4.9765625" style="3" customWidth="1"/>
    <col min="2" max="2" width="23.9453125" style="3" customWidth="1"/>
    <col min="3" max="3" width="11.97265625" style="3" customWidth="1"/>
    <col min="4" max="4" width="11.02734375" style="3" customWidth="1"/>
    <col min="5" max="5" width="13.98828125" style="3" customWidth="1"/>
    <col min="6" max="6" width="11.02734375" style="3" customWidth="1"/>
    <col min="7" max="7" width="11.97265625" style="3" customWidth="1"/>
    <col min="8" max="9" width="9.953125" style="3" customWidth="1"/>
    <col min="10" max="10" width="13.046875" style="3" customWidth="1"/>
    <col min="11" max="12" width="9.953125" style="3" customWidth="1"/>
    <col min="13" max="13" width="13.98828125" style="3" customWidth="1"/>
  </cols>
  <sheetData>
    <row r="1" spans="1:14" ht="18" customHeight="1" x14ac:dyDescent="0.2">
      <c r="L1" s="2" t="s">
        <v>0</v>
      </c>
      <c r="M1" s="2"/>
    </row>
    <row r="2" spans="1:14" ht="63.75" customHeight="1" x14ac:dyDescent="0.2">
      <c r="A2" s="1" t="s">
        <v>1</v>
      </c>
      <c r="B2" s="1"/>
      <c r="C2" s="1"/>
      <c r="D2" s="1" t="s">
        <v>2</v>
      </c>
      <c r="E2" s="1"/>
      <c r="F2" s="1"/>
      <c r="G2" s="1"/>
      <c r="H2" s="1" t="s">
        <v>3</v>
      </c>
      <c r="I2" s="1"/>
      <c r="J2" s="1"/>
      <c r="K2" s="1"/>
    </row>
    <row r="3" spans="1:14" ht="15" customHeight="1" x14ac:dyDescent="0.2">
      <c r="A3" s="1" t="s">
        <v>4</v>
      </c>
      <c r="B3" s="1"/>
      <c r="C3" s="1"/>
      <c r="D3" s="1"/>
      <c r="E3" s="1"/>
      <c r="F3" s="1"/>
      <c r="G3" s="1" t="s">
        <v>5</v>
      </c>
      <c r="H3" s="1"/>
      <c r="I3" s="1"/>
      <c r="J3" s="1"/>
      <c r="K3" s="1"/>
      <c r="L3" s="1"/>
      <c r="M3" s="1"/>
    </row>
    <row r="5" spans="1:14" ht="15" customHeight="1" x14ac:dyDescent="0.2">
      <c r="A5" s="4" t="s">
        <v>6</v>
      </c>
      <c r="B5" s="5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6" t="s">
        <v>19</v>
      </c>
    </row>
    <row r="6" spans="1:14" ht="15" customHeight="1" x14ac:dyDescent="0.2">
      <c r="A6" s="7">
        <v>1</v>
      </c>
      <c r="B6" s="8" t="s">
        <v>20</v>
      </c>
      <c r="C6" s="7" t="s">
        <v>21</v>
      </c>
      <c r="D6" s="7" t="s">
        <v>22</v>
      </c>
      <c r="E6" s="7">
        <v>2</v>
      </c>
      <c r="F6" s="7">
        <v>2</v>
      </c>
      <c r="G6" s="7">
        <v>29</v>
      </c>
      <c r="H6" s="9">
        <v>6588</v>
      </c>
      <c r="I6" s="7"/>
      <c r="J6" s="7"/>
      <c r="K6" s="7"/>
      <c r="L6" s="7"/>
      <c r="M6" s="7" t="str">
        <f>IFERROR(INDEX(Task!$A:$A,MATCH(TRIM(SUBSTITUTE(B6," CFST","")),Task!$G:$G,0)),"")</f>
        <v>1.610</v>
      </c>
      <c r="N6" s="7" t="str">
        <f>IF(M6="","",IFERROR(INDEX(Orca!$B:$B,MATCH(--M6,Orca!$A:$A,0)),""))</f>
        <v>O</v>
      </c>
    </row>
    <row r="7" spans="1:14" ht="15" customHeight="1" x14ac:dyDescent="0.2">
      <c r="A7" s="10">
        <v>2</v>
      </c>
      <c r="B7" s="11" t="s">
        <v>23</v>
      </c>
      <c r="C7" s="10" t="s">
        <v>24</v>
      </c>
      <c r="D7" s="10" t="s">
        <v>25</v>
      </c>
      <c r="E7" s="10">
        <v>2</v>
      </c>
      <c r="F7" s="10">
        <v>3</v>
      </c>
      <c r="G7" s="10">
        <v>32</v>
      </c>
      <c r="H7" s="12">
        <v>6461</v>
      </c>
      <c r="I7" s="10"/>
      <c r="J7" s="10"/>
      <c r="K7" s="10"/>
      <c r="L7" s="10"/>
      <c r="M7" s="10" t="str">
        <f>IFERROR(INDEX(Task!$A:$A,MATCH(TRIM(SUBSTITUTE(B7," CFST","")),Task!$G:$G,0)),"")</f>
        <v>1.517</v>
      </c>
      <c r="N7" s="10" t="str">
        <f>IF(M7="","",IFERROR(INDEX(Orca!$B:$B,MATCH(--M7,Orca!$A:$A,0)),""))</f>
        <v>O</v>
      </c>
    </row>
    <row r="8" spans="1:14" ht="15" customHeight="1" x14ac:dyDescent="0.2">
      <c r="A8" s="7">
        <v>3</v>
      </c>
      <c r="B8" s="8" t="s">
        <v>26</v>
      </c>
      <c r="C8" s="7" t="s">
        <v>27</v>
      </c>
      <c r="D8" s="7" t="s">
        <v>28</v>
      </c>
      <c r="E8" s="7">
        <v>2</v>
      </c>
      <c r="F8" s="7">
        <v>2</v>
      </c>
      <c r="G8" s="7">
        <v>33</v>
      </c>
      <c r="H8" s="9">
        <v>6174</v>
      </c>
      <c r="I8" s="7"/>
      <c r="J8" s="7"/>
      <c r="K8" s="7"/>
      <c r="L8" s="7"/>
      <c r="M8" s="7" t="str">
        <f>IFERROR(INDEX(Task!$A:$A,MATCH(TRIM(SUBSTITUTE(B8," CFST","")),Task!$G:$G,0)),"")</f>
        <v>1.566</v>
      </c>
      <c r="N8" s="7" t="str">
        <f>IF(M8="","",IFERROR(INDEX(Orca!$B:$B,MATCH(--M8,Orca!$A:$A,0)),""))</f>
        <v>O</v>
      </c>
    </row>
    <row r="9" spans="1:14" ht="15" customHeight="1" x14ac:dyDescent="0.2">
      <c r="A9" s="10">
        <v>4</v>
      </c>
      <c r="B9" s="11" t="s">
        <v>29</v>
      </c>
      <c r="C9" s="10" t="s">
        <v>30</v>
      </c>
      <c r="D9" s="10" t="s">
        <v>31</v>
      </c>
      <c r="E9" s="10">
        <v>2</v>
      </c>
      <c r="F9" s="10">
        <v>3</v>
      </c>
      <c r="G9" s="10">
        <v>36</v>
      </c>
      <c r="H9" s="12">
        <v>6052</v>
      </c>
      <c r="I9" s="10"/>
      <c r="J9" s="10"/>
      <c r="K9" s="10"/>
      <c r="L9" s="10"/>
      <c r="M9" s="10" t="str">
        <f>IFERROR(INDEX(Task!$A:$A,MATCH(TRIM(SUBSTITUTE(B9," CFST","")),Task!$G:$G,0)),"")</f>
        <v>1.633</v>
      </c>
      <c r="N9" s="7" t="str">
        <f>IF(M9="","",IFERROR(INDEX(Orca!$B:$B,MATCH(--M9,Orca!$A:$A,0)),""))</f>
        <v>O</v>
      </c>
    </row>
    <row r="10" spans="1:14" ht="15" customHeight="1" x14ac:dyDescent="0.2">
      <c r="A10" s="7">
        <v>5</v>
      </c>
      <c r="B10" s="8" t="s">
        <v>32</v>
      </c>
      <c r="C10" s="7" t="s">
        <v>33</v>
      </c>
      <c r="D10" s="7" t="s">
        <v>34</v>
      </c>
      <c r="E10" s="7">
        <v>2</v>
      </c>
      <c r="F10" s="7">
        <v>2</v>
      </c>
      <c r="G10" s="7">
        <v>37</v>
      </c>
      <c r="H10" s="9">
        <v>5834</v>
      </c>
      <c r="I10" s="7"/>
      <c r="J10" s="7"/>
      <c r="K10" s="7"/>
      <c r="L10" s="7"/>
      <c r="M10" s="7" t="str">
        <f>IFERROR(INDEX(Task!$A:$A,MATCH(TRIM(SUBSTITUTE(B10," CFST","")),Task!$G:$G,0)),"")</f>
        <v>1.481</v>
      </c>
      <c r="N10" s="7" t="str">
        <f>IF(M10="","",IFERROR(INDEX(Orca!$B:$B,MATCH(--M10,Orca!$A:$A,0)),""))</f>
        <v>C</v>
      </c>
    </row>
    <row r="11" spans="1:14" ht="15" customHeight="1" x14ac:dyDescent="0.2">
      <c r="A11" s="10">
        <v>6</v>
      </c>
      <c r="B11" s="11" t="s">
        <v>35</v>
      </c>
      <c r="C11" s="10" t="s">
        <v>36</v>
      </c>
      <c r="D11" s="10" t="s">
        <v>37</v>
      </c>
      <c r="E11" s="10">
        <v>4</v>
      </c>
      <c r="F11" s="10">
        <v>3</v>
      </c>
      <c r="G11" s="10">
        <v>41</v>
      </c>
      <c r="H11" s="12">
        <v>5702</v>
      </c>
      <c r="I11" s="10"/>
      <c r="J11" s="10"/>
      <c r="K11" s="10"/>
      <c r="L11" s="10"/>
      <c r="M11" s="10" t="str">
        <f>IFERROR(INDEX(Task!$A:$A,MATCH(TRIM(SUBSTITUTE(B11," CFST","")),Task!$G:$G,0)),"")</f>
        <v>1.507</v>
      </c>
      <c r="N11" s="7" t="str">
        <f>IF(M11="","",IFERROR(INDEX(Orca!$B:$B,MATCH(--M11,Orca!$A:$A,0)),""))</f>
        <v>C</v>
      </c>
    </row>
    <row r="12" spans="1:14" ht="15" customHeight="1" x14ac:dyDescent="0.2">
      <c r="A12" s="7">
        <v>7</v>
      </c>
      <c r="B12" s="8" t="s">
        <v>38</v>
      </c>
      <c r="C12" s="7" t="s">
        <v>39</v>
      </c>
      <c r="D12" s="7" t="s">
        <v>40</v>
      </c>
      <c r="E12" s="7">
        <v>2</v>
      </c>
      <c r="F12" s="7">
        <v>2</v>
      </c>
      <c r="G12" s="7">
        <v>43</v>
      </c>
      <c r="H12" s="9">
        <v>5657</v>
      </c>
      <c r="I12" s="7"/>
      <c r="J12" s="7"/>
      <c r="K12" s="7"/>
      <c r="L12" s="7"/>
      <c r="M12" s="7" t="str">
        <f>IFERROR(INDEX(Task!$A:$A,MATCH(TRIM(SUBSTITUTE(B12," CFST","")),Task!$G:$G,0)),"")</f>
        <v>1.509</v>
      </c>
      <c r="N12" s="7" t="str">
        <f>IF(M12="","",IFERROR(INDEX(Orca!$B:$B,MATCH(--M12,Orca!$A:$A,0)),""))</f>
        <v>O</v>
      </c>
    </row>
    <row r="13" spans="1:14" ht="15" customHeight="1" x14ac:dyDescent="0.2">
      <c r="A13" s="10">
        <v>8</v>
      </c>
      <c r="B13" s="11" t="s">
        <v>41</v>
      </c>
      <c r="C13" s="10" t="s">
        <v>42</v>
      </c>
      <c r="D13" s="10" t="s">
        <v>43</v>
      </c>
      <c r="E13" s="10">
        <v>2</v>
      </c>
      <c r="F13" s="10">
        <v>3</v>
      </c>
      <c r="G13" s="10">
        <v>46</v>
      </c>
      <c r="H13" s="12">
        <v>5601</v>
      </c>
      <c r="I13" s="10"/>
      <c r="J13" s="10"/>
      <c r="K13" s="10"/>
      <c r="L13" s="10"/>
      <c r="M13" s="10" t="str">
        <f>IFERROR(INDEX(Task!$A:$A,MATCH(TRIM(SUBSTITUTE(B13," CFST","")),Task!$G:$G,0)),"")</f>
        <v>1.493</v>
      </c>
      <c r="N13" s="7" t="str">
        <f>IF(M13="","",IFERROR(INDEX(Orca!$B:$B,MATCH(--M13,Orca!$A:$A,0)),""))</f>
        <v>O</v>
      </c>
    </row>
    <row r="14" spans="1:14" ht="15" customHeight="1" x14ac:dyDescent="0.2">
      <c r="A14" s="7">
        <v>9</v>
      </c>
      <c r="B14" s="8" t="s">
        <v>44</v>
      </c>
      <c r="C14" s="7" t="s">
        <v>45</v>
      </c>
      <c r="D14" s="7" t="s">
        <v>46</v>
      </c>
      <c r="E14" s="7">
        <v>2</v>
      </c>
      <c r="F14" s="7">
        <v>2</v>
      </c>
      <c r="G14" s="7">
        <v>47</v>
      </c>
      <c r="H14" s="9">
        <v>5223</v>
      </c>
      <c r="I14" s="7"/>
      <c r="J14" s="7"/>
      <c r="K14" s="7"/>
      <c r="L14" s="7"/>
      <c r="M14" s="7" t="str">
        <f>IFERROR(INDEX(Task!$A:$A,MATCH(TRIM(SUBSTITUTE(B14," CFST","")),Task!$G:$G,0)),"")</f>
        <v>1.505</v>
      </c>
      <c r="N14" s="7" t="str">
        <f>IF(M14="","",IFERROR(INDEX(Orca!$B:$B,MATCH(--M14,Orca!$A:$A,0)),""))</f>
        <v>C</v>
      </c>
    </row>
    <row r="15" spans="1:14" ht="15" customHeight="1" x14ac:dyDescent="0.2">
      <c r="A15" s="10">
        <v>10</v>
      </c>
      <c r="B15" s="11" t="s">
        <v>47</v>
      </c>
      <c r="C15" s="10" t="s">
        <v>48</v>
      </c>
      <c r="D15" s="10" t="s">
        <v>49</v>
      </c>
      <c r="E15" s="10">
        <v>4</v>
      </c>
      <c r="F15" s="10">
        <v>3</v>
      </c>
      <c r="G15" s="10">
        <v>57</v>
      </c>
      <c r="H15" s="12">
        <v>5226</v>
      </c>
      <c r="I15" s="10"/>
      <c r="J15" s="10"/>
      <c r="K15" s="10"/>
      <c r="L15" s="10"/>
      <c r="M15" s="10" t="str">
        <f>IFERROR(INDEX(Task!$A:$A,MATCH(TRIM(SUBSTITUTE(B15," CFST","")),Task!$G:$G,0)),"")</f>
        <v>1.597</v>
      </c>
      <c r="N15" s="7" t="str">
        <f>IF(M15="","",IFERROR(INDEX(Orca!$B:$B,MATCH(--M15,Orca!$A:$A,0)),""))</f>
        <v>O</v>
      </c>
    </row>
    <row r="16" spans="1:14" ht="15" customHeight="1" x14ac:dyDescent="0.2">
      <c r="A16" s="7">
        <v>11</v>
      </c>
      <c r="B16" s="8" t="s">
        <v>50</v>
      </c>
      <c r="C16" s="7" t="s">
        <v>51</v>
      </c>
      <c r="D16" s="7" t="s">
        <v>52</v>
      </c>
      <c r="E16" s="7">
        <v>2</v>
      </c>
      <c r="F16" s="7">
        <v>2</v>
      </c>
      <c r="G16" s="7">
        <v>59</v>
      </c>
      <c r="H16" s="9">
        <v>5045</v>
      </c>
      <c r="I16" s="7"/>
      <c r="J16" s="7"/>
      <c r="K16" s="7"/>
      <c r="L16" s="7"/>
      <c r="M16" s="7" t="str">
        <f>IFERROR(INDEX(Task!$A:$A,MATCH(TRIM(SUBSTITUTE(B16," CFST","")),Task!$G:$G,0)),"")</f>
        <v>1.568</v>
      </c>
      <c r="N16" s="7" t="str">
        <f>IF(M16="","",IFERROR(INDEX(Orca!$B:$B,MATCH(--M16,Orca!$A:$A,0)),""))</f>
        <v>O</v>
      </c>
    </row>
    <row r="17" spans="1:14" ht="15" customHeight="1" x14ac:dyDescent="0.2">
      <c r="A17" s="10">
        <v>12</v>
      </c>
      <c r="B17" s="11" t="s">
        <v>53</v>
      </c>
      <c r="C17" s="10" t="s">
        <v>54</v>
      </c>
      <c r="D17" s="10" t="s">
        <v>55</v>
      </c>
      <c r="E17" s="10">
        <v>4</v>
      </c>
      <c r="F17" s="10">
        <v>3</v>
      </c>
      <c r="G17" s="10">
        <v>63</v>
      </c>
      <c r="H17" s="12">
        <v>4545</v>
      </c>
      <c r="I17" s="10"/>
      <c r="J17" s="10"/>
      <c r="K17" s="10"/>
      <c r="L17" s="10"/>
      <c r="M17" s="10" t="str">
        <f>IFERROR(INDEX(Task!$A:$A,MATCH(TRIM(SUBSTITUTE(B17," CFST","")),Task!$G:$G,0)),"")</f>
        <v>1.499</v>
      </c>
      <c r="N17" s="7" t="str">
        <f>IF(M17="","",IFERROR(INDEX(Orca!$B:$B,MATCH(--M17,Orca!$A:$A,0)),""))</f>
        <v>O</v>
      </c>
    </row>
    <row r="18" spans="1:14" ht="15" customHeight="1" x14ac:dyDescent="0.2">
      <c r="A18" s="7">
        <v>13</v>
      </c>
      <c r="B18" s="8" t="s">
        <v>56</v>
      </c>
      <c r="C18" s="7" t="s">
        <v>57</v>
      </c>
      <c r="D18" s="7" t="s">
        <v>58</v>
      </c>
      <c r="E18" s="7">
        <v>4</v>
      </c>
      <c r="F18" s="7">
        <v>4</v>
      </c>
      <c r="G18" s="7">
        <v>68</v>
      </c>
      <c r="H18" s="9">
        <v>5023</v>
      </c>
      <c r="I18" s="7"/>
      <c r="J18" s="7"/>
      <c r="K18" s="7"/>
      <c r="L18" s="7"/>
      <c r="M18" s="7" t="str">
        <f>IFERROR(INDEX(Task!$A:$A,MATCH(TRIM(SUBSTITUTE(B18," CFST","")),Task!$G:$G,0)),"")</f>
        <v>1.533</v>
      </c>
      <c r="N18" s="7" t="str">
        <f>IF(M18="","",IFERROR(INDEX(Orca!$B:$B,MATCH(--M18,Orca!$A:$A,0)),""))</f>
        <v>O</v>
      </c>
    </row>
    <row r="19" spans="1:14" ht="15" customHeight="1" x14ac:dyDescent="0.2">
      <c r="A19" s="10">
        <v>14</v>
      </c>
      <c r="B19" s="11" t="s">
        <v>59</v>
      </c>
      <c r="C19" s="10" t="s">
        <v>60</v>
      </c>
      <c r="D19" s="10" t="s">
        <v>61</v>
      </c>
      <c r="E19" s="10">
        <v>2</v>
      </c>
      <c r="F19" s="10">
        <v>2</v>
      </c>
      <c r="G19" s="10">
        <v>69</v>
      </c>
      <c r="H19" s="12">
        <v>5534</v>
      </c>
      <c r="I19" s="10"/>
      <c r="J19" s="10"/>
      <c r="K19" s="10"/>
      <c r="L19" s="10"/>
      <c r="M19" s="10" t="str">
        <f>IFERROR(INDEX(Task!$A:$A,MATCH(TRIM(SUBSTITUTE(B19," CFST","")),Task!$G:$G,0)),"")</f>
        <v>1.540</v>
      </c>
      <c r="N19" s="7" t="str">
        <f>IF(M19="","",IFERROR(INDEX(Orca!$B:$B,MATCH(--M19,Orca!$A:$A,0)),""))</f>
        <v>O</v>
      </c>
    </row>
    <row r="20" spans="1:14" ht="15" customHeight="1" x14ac:dyDescent="0.2">
      <c r="A20" s="7">
        <v>15</v>
      </c>
      <c r="B20" s="8" t="s">
        <v>62</v>
      </c>
      <c r="C20" s="7" t="s">
        <v>63</v>
      </c>
      <c r="D20" s="7" t="s">
        <v>64</v>
      </c>
      <c r="E20" s="7">
        <v>2</v>
      </c>
      <c r="F20" s="7">
        <v>3</v>
      </c>
      <c r="G20" s="7">
        <v>72</v>
      </c>
      <c r="H20" s="9">
        <v>5279</v>
      </c>
      <c r="I20" s="7"/>
      <c r="J20" s="7"/>
      <c r="K20" s="7"/>
      <c r="L20" s="7"/>
      <c r="M20" s="7" t="str">
        <f>IFERROR(INDEX(Task!$A:$A,MATCH(TRIM(SUBSTITUTE(B20," CFST","")),Task!$G:$G,0)),"")</f>
        <v>1.571</v>
      </c>
      <c r="N20" s="7" t="str">
        <f>IF(M20="","",IFERROR(INDEX(Orca!$B:$B,MATCH(--M20,Orca!$A:$A,0)),""))</f>
        <v>O</v>
      </c>
    </row>
    <row r="21" spans="1:14" ht="15" customHeight="1" x14ac:dyDescent="0.2">
      <c r="A21" s="10">
        <v>16</v>
      </c>
      <c r="B21" s="11" t="s">
        <v>65</v>
      </c>
      <c r="C21" s="10" t="s">
        <v>66</v>
      </c>
      <c r="D21" s="10" t="s">
        <v>67</v>
      </c>
      <c r="E21" s="10">
        <v>4</v>
      </c>
      <c r="F21" s="10">
        <v>4</v>
      </c>
      <c r="G21" s="10">
        <v>80</v>
      </c>
      <c r="H21" s="12">
        <v>5880</v>
      </c>
      <c r="I21" s="10"/>
      <c r="J21" s="10"/>
      <c r="K21" s="10"/>
      <c r="L21" s="10"/>
      <c r="M21" s="10" t="str">
        <f>IFERROR(INDEX(Task!$A:$A,MATCH(TRIM(SUBSTITUTE(B21," CFST","")),Task!$G:$G,0)),"")</f>
        <v>1.521</v>
      </c>
      <c r="N21" s="7" t="str">
        <f>IF(M21="","",IFERROR(INDEX(Orca!$B:$B,MATCH(--M21,Orca!$A:$A,0)),""))</f>
        <v>O</v>
      </c>
    </row>
    <row r="22" spans="1:14" ht="15" customHeight="1" x14ac:dyDescent="0.2">
      <c r="A22" s="7">
        <v>17</v>
      </c>
      <c r="B22" s="8" t="s">
        <v>68</v>
      </c>
      <c r="C22" s="7" t="s">
        <v>69</v>
      </c>
      <c r="D22" s="7" t="s">
        <v>70</v>
      </c>
      <c r="E22" s="7">
        <v>4</v>
      </c>
      <c r="F22" s="7">
        <v>1</v>
      </c>
      <c r="G22" s="7">
        <v>81</v>
      </c>
      <c r="H22" s="9">
        <v>5646</v>
      </c>
      <c r="I22" s="7"/>
      <c r="J22" s="7"/>
      <c r="K22" s="7"/>
      <c r="L22" s="7"/>
      <c r="M22" s="7" t="str">
        <f>IFERROR(INDEX(Task!$A:$A,MATCH(TRIM(SUBSTITUTE(B22," CFST","")),Task!$G:$G,0)),"")</f>
        <v>1.611</v>
      </c>
      <c r="N22" s="7" t="str">
        <f>IF(M22="","",IFERROR(INDEX(Orca!$B:$B,MATCH(--M22,Orca!$A:$A,0)),""))</f>
        <v>O</v>
      </c>
    </row>
    <row r="23" spans="1:14" ht="15" customHeight="1" x14ac:dyDescent="0.2">
      <c r="A23" s="10">
        <v>18</v>
      </c>
      <c r="B23" s="11" t="s">
        <v>71</v>
      </c>
      <c r="C23" s="10" t="s">
        <v>72</v>
      </c>
      <c r="D23" s="10" t="s">
        <v>73</v>
      </c>
      <c r="E23" s="10">
        <v>2</v>
      </c>
      <c r="F23" s="10">
        <v>2</v>
      </c>
      <c r="G23" s="10">
        <v>85</v>
      </c>
      <c r="H23" s="12">
        <v>4957</v>
      </c>
      <c r="I23" s="10"/>
      <c r="J23" s="10"/>
      <c r="K23" s="10"/>
      <c r="L23" s="10"/>
      <c r="M23" s="10" t="str">
        <f>IFERROR(INDEX(Task!$A:$A,MATCH(TRIM(SUBSTITUTE(B23," CFST","")),Task!$G:$G,0)),"")</f>
        <v>1.556</v>
      </c>
      <c r="N23" s="7" t="str">
        <f>IF(M23="","",IFERROR(INDEX(Orca!$B:$B,MATCH(--M23,Orca!$A:$A,0)),""))</f>
        <v>O</v>
      </c>
    </row>
    <row r="24" spans="1:14" ht="15" customHeight="1" x14ac:dyDescent="0.2">
      <c r="A24" s="7">
        <v>19</v>
      </c>
      <c r="B24" s="8" t="s">
        <v>74</v>
      </c>
      <c r="C24" s="7" t="s">
        <v>75</v>
      </c>
      <c r="D24" s="7" t="s">
        <v>76</v>
      </c>
      <c r="E24" s="7">
        <v>2</v>
      </c>
      <c r="F24" s="7">
        <v>3</v>
      </c>
      <c r="G24" s="7">
        <v>88</v>
      </c>
      <c r="H24" s="9">
        <v>5015</v>
      </c>
      <c r="I24" s="7"/>
      <c r="J24" s="7"/>
      <c r="K24" s="7"/>
      <c r="L24" s="7"/>
      <c r="M24" s="7" t="str">
        <f>IFERROR(INDEX(Task!$A:$A,MATCH(TRIM(SUBSTITUTE(B24," CFST","")),Task!$G:$G,0)),"")</f>
        <v>1.531</v>
      </c>
      <c r="N24" s="7" t="str">
        <f>IF(M24="","",IFERROR(INDEX(Orca!$B:$B,MATCH(--M24,Orca!$A:$A,0)),""))</f>
        <v>O</v>
      </c>
    </row>
    <row r="25" spans="1:14" ht="15" customHeight="1" x14ac:dyDescent="0.2">
      <c r="A25" s="10">
        <v>20</v>
      </c>
      <c r="B25" s="11" t="s">
        <v>77</v>
      </c>
      <c r="C25" s="10" t="s">
        <v>78</v>
      </c>
      <c r="D25" s="10" t="s">
        <v>79</v>
      </c>
      <c r="E25" s="10">
        <v>2</v>
      </c>
      <c r="F25" s="10">
        <v>2</v>
      </c>
      <c r="G25" s="10">
        <v>89</v>
      </c>
      <c r="H25" s="12">
        <v>5212</v>
      </c>
      <c r="I25" s="10"/>
      <c r="J25" s="10"/>
      <c r="K25" s="10"/>
      <c r="L25" s="10"/>
      <c r="M25" s="10" t="str">
        <f>IFERROR(INDEX(Task!$A:$A,MATCH(TRIM(SUBSTITUTE(B25," CFST","")),Task!$G:$G,0)),"")</f>
        <v>1.508</v>
      </c>
      <c r="N25" s="7" t="str">
        <f>IF(M25="","",IFERROR(INDEX(Orca!$B:$B,MATCH(--M25,Orca!$A:$A,0)),""))</f>
        <v>C</v>
      </c>
    </row>
    <row r="26" spans="1:14" ht="15" customHeight="1" x14ac:dyDescent="0.2">
      <c r="A26" s="7">
        <v>21</v>
      </c>
      <c r="B26" s="8" t="s">
        <v>80</v>
      </c>
      <c r="C26" s="7" t="s">
        <v>81</v>
      </c>
      <c r="D26" s="7" t="s">
        <v>82</v>
      </c>
      <c r="E26" s="7">
        <v>2</v>
      </c>
      <c r="F26" s="7">
        <v>3</v>
      </c>
      <c r="G26" s="7">
        <v>92</v>
      </c>
      <c r="H26" s="9">
        <v>5409</v>
      </c>
      <c r="I26" s="7"/>
      <c r="J26" s="7"/>
      <c r="K26" s="7"/>
      <c r="L26" s="7"/>
      <c r="M26" s="7" t="str">
        <f>IFERROR(INDEX(Task!$A:$A,MATCH(TRIM(SUBSTITUTE(B26," CFST","")),Task!$G:$G,0)),"")</f>
        <v>1.487</v>
      </c>
      <c r="N26" s="7" t="str">
        <f>IF(M26="","",IFERROR(INDEX(Orca!$B:$B,MATCH(--M26,Orca!$A:$A,0)),""))</f>
        <v>O</v>
      </c>
    </row>
    <row r="27" spans="1:14" ht="15" customHeight="1" x14ac:dyDescent="0.2">
      <c r="A27" s="10">
        <v>22</v>
      </c>
      <c r="B27" s="11" t="s">
        <v>83</v>
      </c>
      <c r="C27" s="10" t="s">
        <v>84</v>
      </c>
      <c r="D27" s="10" t="s">
        <v>85</v>
      </c>
      <c r="E27" s="10">
        <v>2</v>
      </c>
      <c r="F27" s="10">
        <v>2</v>
      </c>
      <c r="G27" s="10">
        <v>93</v>
      </c>
      <c r="H27" s="12">
        <v>5495</v>
      </c>
      <c r="I27" s="10"/>
      <c r="J27" s="10"/>
      <c r="K27" s="10"/>
      <c r="L27" s="10"/>
      <c r="M27" s="10" t="str">
        <f>IFERROR(INDEX(Task!$A:$A,MATCH(TRIM(SUBSTITUTE(B27," CFST","")),Task!$G:$G,0)),"")</f>
        <v>1.652</v>
      </c>
      <c r="N27" s="7" t="str">
        <f>IF(M27="","",IFERROR(INDEX(Orca!$B:$B,MATCH(--M27,Orca!$A:$A,0)),""))</f>
        <v>O</v>
      </c>
    </row>
    <row r="28" spans="1:14" ht="15" customHeight="1" x14ac:dyDescent="0.2">
      <c r="A28" s="7">
        <v>23</v>
      </c>
      <c r="B28" s="8" t="s">
        <v>86</v>
      </c>
      <c r="C28" s="7" t="s">
        <v>87</v>
      </c>
      <c r="D28" s="7" t="s">
        <v>88</v>
      </c>
      <c r="E28" s="7">
        <v>2</v>
      </c>
      <c r="F28" s="7">
        <v>3</v>
      </c>
      <c r="G28" s="7">
        <v>96</v>
      </c>
      <c r="H28" s="9">
        <v>5324</v>
      </c>
      <c r="I28" s="7"/>
      <c r="J28" s="7"/>
      <c r="K28" s="7"/>
      <c r="L28" s="7"/>
      <c r="M28" s="7" t="str">
        <f>IFERROR(INDEX(Task!$A:$A,MATCH(TRIM(SUBSTITUTE(B28," CFST","")),Task!$G:$G,0)),"")</f>
        <v>1.653</v>
      </c>
      <c r="N28" s="7" t="str">
        <f>IF(M28="","",IFERROR(INDEX(Orca!$B:$B,MATCH(--M28,Orca!$A:$A,0)),""))</f>
        <v>O</v>
      </c>
    </row>
    <row r="29" spans="1:14" ht="15" customHeight="1" x14ac:dyDescent="0.2">
      <c r="A29" s="10">
        <v>24</v>
      </c>
      <c r="B29" s="11" t="s">
        <v>89</v>
      </c>
      <c r="C29" s="10" t="s">
        <v>90</v>
      </c>
      <c r="D29" s="10" t="s">
        <v>91</v>
      </c>
      <c r="E29" s="10">
        <v>2</v>
      </c>
      <c r="F29" s="10">
        <v>2</v>
      </c>
      <c r="G29" s="10">
        <v>107</v>
      </c>
      <c r="H29" s="12">
        <v>4347</v>
      </c>
      <c r="I29" s="10"/>
      <c r="J29" s="10"/>
      <c r="K29" s="10"/>
      <c r="L29" s="10"/>
      <c r="M29" s="10" t="str">
        <f>IFERROR(INDEX(Task!$A:$A,MATCH(TRIM(SUBSTITUTE(B29," CFST","")),Task!$G:$G,0)),"")</f>
        <v>1.578</v>
      </c>
      <c r="N29" s="7" t="str">
        <f>IF(M29="","",IFERROR(INDEX(Orca!$B:$B,MATCH(--M29,Orca!$A:$A,0)),""))</f>
        <v>O</v>
      </c>
    </row>
    <row r="30" spans="1:14" ht="15" customHeight="1" x14ac:dyDescent="0.2">
      <c r="A30" s="7">
        <v>25</v>
      </c>
      <c r="B30" s="8" t="s">
        <v>92</v>
      </c>
      <c r="C30" s="7" t="s">
        <v>93</v>
      </c>
      <c r="D30" s="7" t="s">
        <v>94</v>
      </c>
      <c r="E30" s="7">
        <v>2</v>
      </c>
      <c r="F30" s="7">
        <v>3</v>
      </c>
      <c r="G30" s="7">
        <v>110</v>
      </c>
      <c r="H30" s="9">
        <v>4536</v>
      </c>
      <c r="I30" s="7"/>
      <c r="J30" s="7"/>
      <c r="K30" s="7"/>
      <c r="L30" s="7"/>
      <c r="M30" s="7" t="str">
        <f>IFERROR(INDEX(Task!$A:$A,MATCH(TRIM(SUBSTITUTE(B30," CFST","")),Task!$G:$G,0)),"")</f>
        <v>1.649</v>
      </c>
      <c r="N30" s="7" t="str">
        <f>IF(M30="","",IFERROR(INDEX(Orca!$B:$B,MATCH(--M30,Orca!$A:$A,0)),""))</f>
        <v>O</v>
      </c>
    </row>
    <row r="31" spans="1:14" ht="15" customHeight="1" x14ac:dyDescent="0.2">
      <c r="A31" s="10">
        <v>26</v>
      </c>
      <c r="B31" s="11" t="s">
        <v>95</v>
      </c>
      <c r="C31" s="10" t="s">
        <v>96</v>
      </c>
      <c r="D31" s="10" t="s">
        <v>97</v>
      </c>
      <c r="E31" s="10">
        <v>2</v>
      </c>
      <c r="F31" s="10">
        <v>2</v>
      </c>
      <c r="G31" s="10">
        <v>111</v>
      </c>
      <c r="H31" s="12">
        <v>4534</v>
      </c>
      <c r="I31" s="10"/>
      <c r="J31" s="10"/>
      <c r="K31" s="10"/>
      <c r="L31" s="10"/>
      <c r="M31" s="10" t="str">
        <f>IFERROR(INDEX(Task!$A:$A,MATCH(TRIM(SUBSTITUTE(B31," CFST","")),Task!$G:$G,0)),"")</f>
        <v>1.558</v>
      </c>
      <c r="N31" s="7" t="str">
        <f>IF(M31="","",IFERROR(INDEX(Orca!$B:$B,MATCH(--M31,Orca!$A:$A,0)),""))</f>
        <v>O</v>
      </c>
    </row>
    <row r="32" spans="1:14" ht="15" customHeight="1" x14ac:dyDescent="0.2">
      <c r="A32" s="7">
        <v>27</v>
      </c>
      <c r="B32" s="8" t="s">
        <v>98</v>
      </c>
      <c r="C32" s="7" t="s">
        <v>99</v>
      </c>
      <c r="D32" s="7" t="s">
        <v>100</v>
      </c>
      <c r="E32" s="7">
        <v>4</v>
      </c>
      <c r="F32" s="7">
        <v>3</v>
      </c>
      <c r="G32" s="7">
        <v>115</v>
      </c>
      <c r="H32" s="9">
        <v>4562</v>
      </c>
      <c r="I32" s="7"/>
      <c r="J32" s="7"/>
      <c r="K32" s="7"/>
      <c r="L32" s="7"/>
      <c r="M32" s="7" t="str">
        <f>IFERROR(INDEX(Task!$A:$A,MATCH(TRIM(SUBSTITUTE(B32," CFST","")),Task!$G:$G,0)),"")</f>
        <v>1.596</v>
      </c>
      <c r="N32" s="7" t="str">
        <f>IF(M32="","",IFERROR(INDEX(Orca!$B:$B,MATCH(--M32,Orca!$A:$A,0)),""))</f>
        <v>O</v>
      </c>
    </row>
    <row r="33" spans="1:14" ht="15" customHeight="1" x14ac:dyDescent="0.2">
      <c r="A33" s="10">
        <v>28</v>
      </c>
      <c r="B33" s="11" t="s">
        <v>101</v>
      </c>
      <c r="C33" s="10" t="s">
        <v>102</v>
      </c>
      <c r="D33" s="10" t="s">
        <v>103</v>
      </c>
      <c r="E33" s="10">
        <v>2</v>
      </c>
      <c r="F33" s="10">
        <v>2</v>
      </c>
      <c r="G33" s="10">
        <v>117</v>
      </c>
      <c r="H33" s="12">
        <v>4718</v>
      </c>
      <c r="I33" s="10"/>
      <c r="J33" s="10"/>
      <c r="K33" s="10"/>
      <c r="L33" s="10"/>
      <c r="M33" s="10" t="str">
        <f>IFERROR(INDEX(Task!$A:$A,MATCH(TRIM(SUBSTITUTE(B33," CFST","")),Task!$G:$G,0)),"")</f>
        <v>1.651</v>
      </c>
      <c r="N33" s="7" t="str">
        <f>IF(M33="","",IFERROR(INDEX(Orca!$B:$B,MATCH(--M33,Orca!$A:$A,0)),""))</f>
        <v>O</v>
      </c>
    </row>
    <row r="34" spans="1:14" ht="15" customHeight="1" x14ac:dyDescent="0.2">
      <c r="A34" s="7">
        <v>29</v>
      </c>
      <c r="B34" s="8" t="s">
        <v>104</v>
      </c>
      <c r="C34" s="7" t="s">
        <v>105</v>
      </c>
      <c r="D34" s="7" t="s">
        <v>106</v>
      </c>
      <c r="E34" s="7">
        <v>2</v>
      </c>
      <c r="F34" s="7">
        <v>3</v>
      </c>
      <c r="G34" s="7">
        <v>120</v>
      </c>
      <c r="H34" s="9">
        <v>4835</v>
      </c>
      <c r="I34" s="7"/>
      <c r="J34" s="7"/>
      <c r="K34" s="7"/>
      <c r="L34" s="7"/>
      <c r="M34" s="7" t="str">
        <f>IFERROR(INDEX(Task!$A:$A,MATCH(TRIM(SUBSTITUTE(B34," CFST","")),Task!$G:$G,0)),"")</f>
        <v>1.609</v>
      </c>
      <c r="N34" s="7" t="str">
        <f>IF(M34="","",IFERROR(INDEX(Orca!$B:$B,MATCH(--M34,Orca!$A:$A,0)),""))</f>
        <v>O</v>
      </c>
    </row>
    <row r="35" spans="1:14" ht="15" customHeight="1" x14ac:dyDescent="0.2">
      <c r="A35" s="10">
        <v>30</v>
      </c>
      <c r="B35" s="11" t="s">
        <v>107</v>
      </c>
      <c r="C35" s="10" t="s">
        <v>108</v>
      </c>
      <c r="D35" s="10" t="s">
        <v>109</v>
      </c>
      <c r="E35" s="10">
        <v>2</v>
      </c>
      <c r="F35" s="10">
        <v>2</v>
      </c>
      <c r="G35" s="10">
        <v>121</v>
      </c>
      <c r="H35" s="12">
        <v>5227</v>
      </c>
      <c r="I35" s="10"/>
      <c r="J35" s="10"/>
      <c r="K35" s="10"/>
      <c r="L35" s="10"/>
      <c r="M35" s="10" t="str">
        <f>IFERROR(INDEX(Task!$A:$A,MATCH(TRIM(SUBSTITUTE(B35," CFST","")),Task!$G:$G,0)),"")</f>
        <v>1.489</v>
      </c>
      <c r="N35" s="7" t="str">
        <f>IF(M35="","",IFERROR(INDEX(Orca!$B:$B,MATCH(--M35,Orca!$A:$A,0)),""))</f>
        <v>O</v>
      </c>
    </row>
    <row r="36" spans="1:14" ht="15" customHeight="1" x14ac:dyDescent="0.2">
      <c r="A36" s="7">
        <v>31</v>
      </c>
      <c r="B36" s="8" t="s">
        <v>110</v>
      </c>
      <c r="C36" s="7" t="s">
        <v>111</v>
      </c>
      <c r="D36" s="7" t="s">
        <v>112</v>
      </c>
      <c r="E36" s="7">
        <v>2</v>
      </c>
      <c r="F36" s="7">
        <v>3</v>
      </c>
      <c r="G36" s="7">
        <v>124</v>
      </c>
      <c r="H36" s="9">
        <v>5114</v>
      </c>
      <c r="I36" s="7"/>
      <c r="J36" s="7"/>
      <c r="K36" s="7"/>
      <c r="L36" s="7"/>
      <c r="M36" s="7" t="str">
        <f>IFERROR(INDEX(Task!$A:$A,MATCH(TRIM(SUBSTITUTE(B36," CFST","")),Task!$G:$G,0)),"")</f>
        <v>1.662</v>
      </c>
      <c r="N36" s="7" t="str">
        <f>IF(M36="","",IFERROR(INDEX(Orca!$B:$B,MATCH(--M36,Orca!$A:$A,0)),""))</f>
        <v>O</v>
      </c>
    </row>
    <row r="37" spans="1:14" ht="15" customHeight="1" x14ac:dyDescent="0.2">
      <c r="A37" s="10">
        <v>32</v>
      </c>
      <c r="B37" s="11" t="s">
        <v>113</v>
      </c>
      <c r="C37" s="10" t="s">
        <v>114</v>
      </c>
      <c r="D37" s="10" t="s">
        <v>115</v>
      </c>
      <c r="E37" s="10">
        <v>4</v>
      </c>
      <c r="F37" s="10">
        <v>4</v>
      </c>
      <c r="G37" s="10">
        <v>128</v>
      </c>
      <c r="H37" s="12">
        <v>4923</v>
      </c>
      <c r="I37" s="10"/>
      <c r="J37" s="10"/>
      <c r="K37" s="10"/>
      <c r="L37" s="10"/>
      <c r="M37" s="10" t="str">
        <f>IFERROR(INDEX(Task!$A:$A,MATCH(TRIM(SUBSTITUTE(B37," CFST","")),Task!$G:$G,0)),"")</f>
        <v>1.580</v>
      </c>
      <c r="N37" s="7" t="str">
        <f>IF(M37="","",IFERROR(INDEX(Orca!$B:$B,MATCH(--M37,Orca!$A:$A,0)),""))</f>
        <v>O</v>
      </c>
    </row>
    <row r="38" spans="1:14" ht="15" customHeight="1" x14ac:dyDescent="0.2">
      <c r="A38" s="7">
        <v>33</v>
      </c>
      <c r="B38" s="8" t="s">
        <v>116</v>
      </c>
      <c r="C38" s="7" t="s">
        <v>117</v>
      </c>
      <c r="D38" s="7" t="s">
        <v>118</v>
      </c>
      <c r="E38" s="7">
        <v>4</v>
      </c>
      <c r="F38" s="7">
        <v>1</v>
      </c>
      <c r="G38" s="7">
        <v>129</v>
      </c>
      <c r="H38" s="9">
        <v>4481</v>
      </c>
      <c r="I38" s="7"/>
      <c r="J38" s="7"/>
      <c r="K38" s="7"/>
      <c r="L38" s="7"/>
      <c r="M38" s="7" t="str">
        <f>IFERROR(INDEX(Task!$A:$A,MATCH(TRIM(SUBSTITUTE(B38," CFST","")),Task!$G:$G,0)),"")</f>
        <v>1.484</v>
      </c>
      <c r="N38" s="7" t="str">
        <f>IF(M38="","",IFERROR(INDEX(Orca!$B:$B,MATCH(--M38,Orca!$A:$A,0)),""))</f>
        <v>C</v>
      </c>
    </row>
    <row r="39" spans="1:14" ht="15" customHeight="1" x14ac:dyDescent="0.2">
      <c r="A39" s="10">
        <v>34</v>
      </c>
      <c r="B39" s="11" t="s">
        <v>119</v>
      </c>
      <c r="C39" s="10" t="s">
        <v>120</v>
      </c>
      <c r="D39" s="10" t="s">
        <v>121</v>
      </c>
      <c r="E39" s="10">
        <v>4</v>
      </c>
      <c r="F39" s="10">
        <v>2</v>
      </c>
      <c r="G39" s="10">
        <v>134</v>
      </c>
      <c r="H39" s="12">
        <v>3893</v>
      </c>
      <c r="I39" s="10"/>
      <c r="J39" s="10"/>
      <c r="K39" s="10"/>
      <c r="L39" s="10"/>
      <c r="M39" s="10" t="str">
        <f>IFERROR(INDEX(Task!$A:$A,MATCH(TRIM(SUBSTITUTE(B39," CFST","")),Task!$G:$G,0)),"")</f>
        <v>1.630</v>
      </c>
      <c r="N39" s="7" t="str">
        <f>IF(M39="","",IFERROR(INDEX(Orca!$B:$B,MATCH(--M39,Orca!$A:$A,0)),""))</f>
        <v>C</v>
      </c>
    </row>
    <row r="40" spans="1:14" ht="15" customHeight="1" x14ac:dyDescent="0.2">
      <c r="A40" s="7">
        <v>35</v>
      </c>
      <c r="B40" s="8" t="s">
        <v>122</v>
      </c>
      <c r="C40" s="7" t="s">
        <v>123</v>
      </c>
      <c r="D40" s="7" t="s">
        <v>124</v>
      </c>
      <c r="E40" s="7">
        <v>4</v>
      </c>
      <c r="F40" s="7">
        <v>3</v>
      </c>
      <c r="G40" s="7">
        <v>139</v>
      </c>
      <c r="H40" s="9">
        <v>3772</v>
      </c>
      <c r="I40" s="7"/>
      <c r="J40" s="7"/>
      <c r="K40" s="7"/>
      <c r="L40" s="7"/>
      <c r="M40" s="7" t="str">
        <f>IFERROR(INDEX(Task!$A:$A,MATCH(TRIM(SUBSTITUTE(B40," CFST","")),Task!$G:$G,0)),"")</f>
        <v>1.655</v>
      </c>
      <c r="N40" s="7" t="str">
        <f>IF(M40="","",IFERROR(INDEX(Orca!$B:$B,MATCH(--M40,Orca!$A:$A,0)),""))</f>
        <v>C</v>
      </c>
    </row>
    <row r="41" spans="1:14" ht="15" customHeight="1" x14ac:dyDescent="0.2">
      <c r="A41" s="10">
        <v>36</v>
      </c>
      <c r="B41" s="11" t="s">
        <v>125</v>
      </c>
      <c r="C41" s="10" t="s">
        <v>126</v>
      </c>
      <c r="D41" s="10" t="s">
        <v>127</v>
      </c>
      <c r="E41" s="10">
        <v>4</v>
      </c>
      <c r="F41" s="10">
        <v>4</v>
      </c>
      <c r="G41" s="10">
        <v>144</v>
      </c>
      <c r="H41" s="12">
        <v>3417</v>
      </c>
      <c r="I41" s="10"/>
      <c r="J41" s="10"/>
      <c r="K41" s="10"/>
      <c r="L41" s="10"/>
      <c r="M41" s="10" t="str">
        <f>IFERROR(INDEX(Task!$A:$A,MATCH(TRIM(SUBSTITUTE(B41," CFST","")),Task!$G:$G,0)),"")</f>
        <v>1.496</v>
      </c>
      <c r="N41" s="7" t="str">
        <f>IF(M41="","",IFERROR(INDEX(Orca!$B:$B,MATCH(--M41,Orca!$A:$A,0)),""))</f>
        <v>C</v>
      </c>
    </row>
    <row r="42" spans="1:14" ht="15" customHeight="1" x14ac:dyDescent="0.2">
      <c r="A42" s="7">
        <v>37</v>
      </c>
      <c r="B42" s="8" t="s">
        <v>128</v>
      </c>
      <c r="C42" s="7" t="s">
        <v>129</v>
      </c>
      <c r="D42" s="7" t="s">
        <v>130</v>
      </c>
      <c r="E42" s="7">
        <v>4</v>
      </c>
      <c r="F42" s="7">
        <v>1</v>
      </c>
      <c r="G42" s="7">
        <v>149</v>
      </c>
      <c r="H42" s="9">
        <v>3373</v>
      </c>
      <c r="I42" s="7"/>
      <c r="J42" s="7"/>
      <c r="K42" s="7"/>
      <c r="L42" s="7"/>
      <c r="M42" s="7" t="str">
        <f>IFERROR(INDEX(Task!$A:$A,MATCH(TRIM(SUBSTITUTE(B42," CFST","")),Task!$G:$G,0)),"")</f>
        <v>1.515</v>
      </c>
      <c r="N42" s="7" t="str">
        <f>IF(M42="","",IFERROR(INDEX(Orca!$B:$B,MATCH(--M42,Orca!$A:$A,0)),""))</f>
        <v>C</v>
      </c>
    </row>
    <row r="43" spans="1:14" ht="15" customHeight="1" x14ac:dyDescent="0.2">
      <c r="A43" s="10">
        <v>38</v>
      </c>
      <c r="B43" s="11" t="s">
        <v>131</v>
      </c>
      <c r="C43" s="10" t="s">
        <v>132</v>
      </c>
      <c r="D43" s="10" t="s">
        <v>133</v>
      </c>
      <c r="E43" s="10">
        <v>2</v>
      </c>
      <c r="F43" s="10">
        <v>2</v>
      </c>
      <c r="G43" s="10">
        <v>153</v>
      </c>
      <c r="H43" s="12">
        <v>2989</v>
      </c>
      <c r="I43" s="10"/>
      <c r="J43" s="10"/>
      <c r="K43" s="10"/>
      <c r="L43" s="10"/>
      <c r="M43" s="10" t="str">
        <f>IFERROR(INDEX(Task!$A:$A,MATCH(TRIM(SUBSTITUTE(B43," CFST","")),Task!$G:$G,0)),"")</f>
        <v>1.492</v>
      </c>
      <c r="N43" s="7" t="str">
        <f>IF(M43="","",IFERROR(INDEX(Orca!$B:$B,MATCH(--M43,Orca!$A:$A,0)),""))</f>
        <v>C</v>
      </c>
    </row>
    <row r="44" spans="1:14" ht="15" customHeight="1" x14ac:dyDescent="0.2">
      <c r="A44" s="7">
        <v>39</v>
      </c>
      <c r="B44" s="8" t="s">
        <v>134</v>
      </c>
      <c r="C44" s="7" t="s">
        <v>135</v>
      </c>
      <c r="D44" s="7" t="s">
        <v>136</v>
      </c>
      <c r="E44" s="7">
        <v>2</v>
      </c>
      <c r="F44" s="7">
        <v>3</v>
      </c>
      <c r="G44" s="7">
        <v>156</v>
      </c>
      <c r="H44" s="9">
        <v>2499</v>
      </c>
      <c r="I44" s="7"/>
      <c r="J44" s="7"/>
      <c r="K44" s="7"/>
      <c r="L44" s="7"/>
      <c r="M44" s="7" t="str">
        <f>IFERROR(INDEX(Task!$A:$A,MATCH(TRIM(SUBSTITUTE(B44," CFST","")),Task!$G:$G,0)),"")</f>
        <v>1.503</v>
      </c>
      <c r="N44" s="7" t="str">
        <f>IF(M44="","",IFERROR(INDEX(Orca!$B:$B,MATCH(--M44,Orca!$A:$A,0)),""))</f>
        <v>C</v>
      </c>
    </row>
    <row r="45" spans="1:14" ht="15" customHeight="1" x14ac:dyDescent="0.2">
      <c r="A45" s="10">
        <v>40</v>
      </c>
      <c r="B45" s="11" t="s">
        <v>137</v>
      </c>
      <c r="C45" s="10" t="s">
        <v>138</v>
      </c>
      <c r="D45" s="10" t="s">
        <v>139</v>
      </c>
      <c r="E45" s="10">
        <v>2</v>
      </c>
      <c r="F45" s="10">
        <v>2</v>
      </c>
      <c r="G45" s="10">
        <v>157</v>
      </c>
      <c r="H45" s="12">
        <v>359</v>
      </c>
      <c r="I45" s="10"/>
      <c r="J45" s="10"/>
      <c r="K45" s="10"/>
      <c r="L45" s="10"/>
      <c r="M45" s="10" t="str">
        <f>IFERROR(INDEX(Task!$A:$A,MATCH(TRIM(SUBSTITUTE(B45," CFST","")),Task!$G:$G,0)),"")</f>
        <v>1.538</v>
      </c>
      <c r="N45" s="7" t="str">
        <f>IF(M45="","",IFERROR(INDEX(Orca!$B:$B,MATCH(--M45,Orca!$A:$A,0)),""))</f>
        <v>C</v>
      </c>
    </row>
    <row r="46" spans="1:14" ht="15" customHeight="1" x14ac:dyDescent="0.2">
      <c r="A46" s="7">
        <v>41</v>
      </c>
      <c r="B46" s="8" t="s">
        <v>140</v>
      </c>
      <c r="C46" s="7" t="s">
        <v>141</v>
      </c>
      <c r="D46" s="7" t="s">
        <v>142</v>
      </c>
      <c r="E46" s="7">
        <v>2</v>
      </c>
      <c r="F46" s="7">
        <v>3</v>
      </c>
      <c r="G46" s="7">
        <v>166</v>
      </c>
      <c r="H46" s="9">
        <v>512</v>
      </c>
      <c r="I46" s="7"/>
      <c r="J46" s="7"/>
      <c r="K46" s="7"/>
      <c r="L46" s="7"/>
      <c r="M46" s="7" t="str">
        <f>IFERROR(INDEX(Task!$A:$A,MATCH(TRIM(SUBSTITUTE(B46," CFST","")),Task!$G:$G,0)),"")</f>
        <v>1.640</v>
      </c>
      <c r="N46" s="7" t="str">
        <f>IF(M46="","",IFERROR(INDEX(Orca!$B:$B,MATCH(--M46,Orca!$A:$A,0)),""))</f>
        <v>C</v>
      </c>
    </row>
    <row r="47" spans="1:14" ht="15" customHeight="1" x14ac:dyDescent="0.2">
      <c r="A47" s="10">
        <v>42</v>
      </c>
      <c r="B47" s="11" t="s">
        <v>143</v>
      </c>
      <c r="C47" s="10" t="s">
        <v>144</v>
      </c>
      <c r="D47" s="10" t="s">
        <v>145</v>
      </c>
      <c r="E47" s="10">
        <v>2</v>
      </c>
      <c r="F47" s="10">
        <v>2</v>
      </c>
      <c r="G47" s="10">
        <v>167</v>
      </c>
      <c r="H47" s="12">
        <v>603</v>
      </c>
      <c r="I47" s="10"/>
      <c r="J47" s="10"/>
      <c r="K47" s="10"/>
      <c r="L47" s="10"/>
      <c r="M47" s="10" t="str">
        <f>IFERROR(INDEX(Task!$A:$A,MATCH(TRIM(SUBSTITUTE(B47," CFST","")),Task!$G:$G,0)),"")</f>
        <v>1.623</v>
      </c>
      <c r="N47" s="7" t="str">
        <f>IF(M47="","",IFERROR(INDEX(Orca!$B:$B,MATCH(--M47,Orca!$A:$A,0)),""))</f>
        <v>C</v>
      </c>
    </row>
    <row r="48" spans="1:14" ht="15" customHeight="1" x14ac:dyDescent="0.2">
      <c r="A48" s="7">
        <v>43</v>
      </c>
      <c r="B48" s="8" t="s">
        <v>146</v>
      </c>
      <c r="C48" s="7" t="s">
        <v>147</v>
      </c>
      <c r="D48" s="7" t="s">
        <v>148</v>
      </c>
      <c r="E48" s="7">
        <v>4</v>
      </c>
      <c r="F48" s="7">
        <v>3</v>
      </c>
      <c r="G48" s="7">
        <v>179</v>
      </c>
      <c r="H48" s="9">
        <v>858</v>
      </c>
      <c r="I48" s="7"/>
      <c r="J48" s="7"/>
      <c r="K48" s="7"/>
      <c r="L48" s="7"/>
      <c r="M48" s="7" t="str">
        <f>IFERROR(INDEX(Task!$A:$A,MATCH(TRIM(SUBSTITUTE(B48," CFST","")),Task!$G:$G,0)),"")</f>
        <v>1.642</v>
      </c>
      <c r="N48" s="7" t="str">
        <f>IF(M48="","",IFERROR(INDEX(Orca!$B:$B,MATCH(--M48,Orca!$A:$A,0)),""))</f>
        <v>C</v>
      </c>
    </row>
    <row r="49" spans="1:14" ht="15" customHeight="1" x14ac:dyDescent="0.2">
      <c r="A49" s="10">
        <v>44</v>
      </c>
      <c r="B49" s="11" t="s">
        <v>149</v>
      </c>
      <c r="C49" s="10" t="s">
        <v>150</v>
      </c>
      <c r="D49" s="10" t="s">
        <v>151</v>
      </c>
      <c r="E49" s="10">
        <v>4</v>
      </c>
      <c r="F49" s="10">
        <v>4</v>
      </c>
      <c r="G49" s="10">
        <v>184</v>
      </c>
      <c r="H49" s="12">
        <v>784</v>
      </c>
      <c r="I49" s="10"/>
      <c r="J49" s="10"/>
      <c r="K49" s="10"/>
      <c r="L49" s="10"/>
      <c r="M49" s="10" t="str">
        <f>IFERROR(INDEX(Task!$A:$A,MATCH(TRIM(SUBSTITUTE(B49," CFST","")),Task!$G:$G,0)),"")</f>
        <v>1.502</v>
      </c>
      <c r="N49" s="7" t="str">
        <f>IF(M49="","",IFERROR(INDEX(Orca!$B:$B,MATCH(--M49,Orca!$A:$A,0)),""))</f>
        <v>O</v>
      </c>
    </row>
    <row r="50" spans="1:14" ht="15" customHeight="1" x14ac:dyDescent="0.2">
      <c r="A50" s="7">
        <v>45</v>
      </c>
      <c r="B50" s="8" t="s">
        <v>152</v>
      </c>
      <c r="C50" s="7" t="s">
        <v>153</v>
      </c>
      <c r="D50" s="7" t="s">
        <v>154</v>
      </c>
      <c r="E50" s="7">
        <v>4</v>
      </c>
      <c r="F50" s="7">
        <v>1</v>
      </c>
      <c r="G50" s="7">
        <v>185</v>
      </c>
      <c r="H50" s="9">
        <v>972</v>
      </c>
      <c r="I50" s="7"/>
      <c r="J50" s="7"/>
      <c r="K50" s="7"/>
      <c r="L50" s="7"/>
      <c r="M50" s="7" t="str">
        <f>IFERROR(INDEX(Task!$A:$A,MATCH(TRIM(SUBSTITUTE(B50," CFST","")),Task!$G:$G,0)),"")</f>
        <v>1.565</v>
      </c>
      <c r="N50" s="7" t="str">
        <f>IF(M50="","",IFERROR(INDEX(Orca!$B:$B,MATCH(--M50,Orca!$A:$A,0)),""))</f>
        <v>C</v>
      </c>
    </row>
    <row r="51" spans="1:14" ht="15" customHeight="1" x14ac:dyDescent="0.2">
      <c r="A51" s="10">
        <v>46</v>
      </c>
      <c r="B51" s="11" t="s">
        <v>155</v>
      </c>
      <c r="C51" s="10" t="s">
        <v>156</v>
      </c>
      <c r="D51" s="10" t="s">
        <v>157</v>
      </c>
      <c r="E51" s="10">
        <v>2</v>
      </c>
      <c r="F51" s="10">
        <v>2</v>
      </c>
      <c r="G51" s="10">
        <v>189</v>
      </c>
      <c r="H51" s="12">
        <v>1216</v>
      </c>
      <c r="I51" s="10"/>
      <c r="J51" s="10"/>
      <c r="K51" s="10"/>
      <c r="L51" s="10"/>
      <c r="M51" s="10" t="str">
        <f>IFERROR(INDEX(Task!$A:$A,MATCH(TRIM(SUBSTITUTE(B51," CFST","")),Task!$G:$G,0)),"")</f>
        <v>1.636</v>
      </c>
      <c r="N51" s="7" t="str">
        <f>IF(M51="","",IFERROR(INDEX(Orca!$B:$B,MATCH(--M51,Orca!$A:$A,0)),""))</f>
        <v>C</v>
      </c>
    </row>
    <row r="52" spans="1:14" ht="15" customHeight="1" x14ac:dyDescent="0.2">
      <c r="A52" s="7">
        <v>47</v>
      </c>
      <c r="B52" s="8" t="s">
        <v>158</v>
      </c>
      <c r="C52" s="7" t="s">
        <v>159</v>
      </c>
      <c r="D52" s="7" t="s">
        <v>160</v>
      </c>
      <c r="E52" s="7">
        <v>2</v>
      </c>
      <c r="F52" s="7">
        <v>3</v>
      </c>
      <c r="G52" s="7">
        <v>192</v>
      </c>
      <c r="H52" s="9">
        <v>1308</v>
      </c>
      <c r="I52" s="7"/>
      <c r="J52" s="7"/>
      <c r="K52" s="7"/>
      <c r="L52" s="7"/>
      <c r="M52" s="7" t="str">
        <f>IFERROR(INDEX(Task!$A:$A,MATCH(TRIM(SUBSTITUTE(B52," CFST","")),Task!$G:$G,0)),"")</f>
        <v>1.606</v>
      </c>
      <c r="N52" s="7" t="str">
        <f>IF(M52="","",IFERROR(INDEX(Orca!$B:$B,MATCH(--M52,Orca!$A:$A,0)),""))</f>
        <v>C</v>
      </c>
    </row>
    <row r="53" spans="1:14" ht="15" customHeight="1" x14ac:dyDescent="0.2">
      <c r="A53" s="10">
        <v>48</v>
      </c>
      <c r="B53" s="11" t="s">
        <v>161</v>
      </c>
      <c r="C53" s="10" t="s">
        <v>162</v>
      </c>
      <c r="D53" s="10" t="s">
        <v>163</v>
      </c>
      <c r="E53" s="10">
        <v>4</v>
      </c>
      <c r="F53" s="10">
        <v>4</v>
      </c>
      <c r="G53" s="10">
        <v>204</v>
      </c>
      <c r="H53" s="12">
        <v>1286</v>
      </c>
      <c r="I53" s="10"/>
      <c r="J53" s="10"/>
      <c r="K53" s="10"/>
      <c r="L53" s="10"/>
      <c r="M53" s="10" t="str">
        <f>IFERROR(INDEX(Task!$A:$A,MATCH(TRIM(SUBSTITUTE(B53," CFST","")),Task!$G:$G,0)),"")</f>
        <v>1.573</v>
      </c>
      <c r="N53" s="7" t="str">
        <f>IF(M53="","",IFERROR(INDEX(Orca!$B:$B,MATCH(--M53,Orca!$A:$A,0)),""))</f>
        <v>C</v>
      </c>
    </row>
    <row r="54" spans="1:14" ht="15" customHeight="1" x14ac:dyDescent="0.2">
      <c r="A54" s="7">
        <v>49</v>
      </c>
      <c r="B54" s="8" t="s">
        <v>164</v>
      </c>
      <c r="C54" s="7" t="s">
        <v>165</v>
      </c>
      <c r="D54" s="7" t="s">
        <v>166</v>
      </c>
      <c r="E54" s="7">
        <v>2</v>
      </c>
      <c r="F54" s="7">
        <v>2</v>
      </c>
      <c r="G54" s="7">
        <v>205</v>
      </c>
      <c r="H54" s="9">
        <v>1449</v>
      </c>
      <c r="I54" s="7"/>
      <c r="J54" s="7"/>
      <c r="K54" s="7"/>
      <c r="L54" s="7"/>
      <c r="M54" s="7" t="str">
        <f>IFERROR(INDEX(Task!$A:$A,MATCH(TRIM(SUBSTITUTE(B54," CFST","")),Task!$G:$G,0)),"")</f>
        <v>1.569</v>
      </c>
      <c r="N54" s="7" t="str">
        <f>IF(M54="","",IFERROR(INDEX(Orca!$B:$B,MATCH(--M54,Orca!$A:$A,0)),""))</f>
        <v>C</v>
      </c>
    </row>
    <row r="55" spans="1:14" ht="15" customHeight="1" x14ac:dyDescent="0.2">
      <c r="A55" s="10">
        <v>50</v>
      </c>
      <c r="B55" s="11" t="s">
        <v>167</v>
      </c>
      <c r="C55" s="10" t="s">
        <v>168</v>
      </c>
      <c r="D55" s="10" t="s">
        <v>169</v>
      </c>
      <c r="E55" s="10">
        <v>2</v>
      </c>
      <c r="F55" s="10">
        <v>3</v>
      </c>
      <c r="G55" s="10">
        <v>208</v>
      </c>
      <c r="H55" s="12">
        <v>1480</v>
      </c>
      <c r="I55" s="10"/>
      <c r="J55" s="10"/>
      <c r="K55" s="10"/>
      <c r="L55" s="10"/>
      <c r="M55" s="10" t="str">
        <f>IFERROR(INDEX(Task!$A:$A,MATCH(TRIM(SUBSTITUTE(B55," CFST","")),Task!$G:$G,0)),"")</f>
        <v>1.643</v>
      </c>
      <c r="N55" s="7" t="str">
        <f>IF(M55="","",IFERROR(INDEX(Orca!$B:$B,MATCH(--M55,Orca!$A:$A,0)),""))</f>
        <v>C</v>
      </c>
    </row>
    <row r="56" spans="1:14" ht="15" customHeight="1" x14ac:dyDescent="0.2">
      <c r="A56" s="7">
        <v>51</v>
      </c>
      <c r="B56" s="8" t="s">
        <v>170</v>
      </c>
      <c r="C56" s="7" t="s">
        <v>171</v>
      </c>
      <c r="D56" s="7" t="s">
        <v>172</v>
      </c>
      <c r="E56" s="7">
        <v>2</v>
      </c>
      <c r="F56" s="7">
        <v>2</v>
      </c>
      <c r="G56" s="7">
        <v>209</v>
      </c>
      <c r="H56" s="9">
        <v>1713</v>
      </c>
      <c r="I56" s="7"/>
      <c r="J56" s="7"/>
      <c r="K56" s="7"/>
      <c r="L56" s="7"/>
      <c r="M56" s="7" t="str">
        <f>IFERROR(INDEX(Task!$A:$A,MATCH(TRIM(SUBSTITUTE(B56," CFST","")),Task!$G:$G,0)),"")</f>
        <v>1.543</v>
      </c>
      <c r="N56" s="7" t="str">
        <f>IF(M56="","",IFERROR(INDEX(Orca!$B:$B,MATCH(--M56,Orca!$A:$A,0)),""))</f>
        <v>C</v>
      </c>
    </row>
    <row r="57" spans="1:14" ht="15" customHeight="1" x14ac:dyDescent="0.2">
      <c r="A57" s="10">
        <v>52</v>
      </c>
      <c r="B57" s="11" t="s">
        <v>173</v>
      </c>
      <c r="C57" s="10" t="s">
        <v>174</v>
      </c>
      <c r="D57" s="10" t="s">
        <v>175</v>
      </c>
      <c r="E57" s="10">
        <v>2</v>
      </c>
      <c r="F57" s="10">
        <v>3</v>
      </c>
      <c r="G57" s="10">
        <v>212</v>
      </c>
      <c r="H57" s="12">
        <v>1824</v>
      </c>
      <c r="I57" s="10"/>
      <c r="J57" s="10"/>
      <c r="K57" s="10"/>
      <c r="L57" s="10"/>
      <c r="M57" s="10" t="str">
        <f>IFERROR(INDEX(Task!$A:$A,MATCH(TRIM(SUBSTITUTE(B57," CFST","")),Task!$G:$G,0)),"")</f>
        <v>1.535</v>
      </c>
      <c r="N57" s="7" t="str">
        <f>IF(M57="","",IFERROR(INDEX(Orca!$B:$B,MATCH(--M57,Orca!$A:$A,0)),""))</f>
        <v>C</v>
      </c>
    </row>
    <row r="58" spans="1:14" ht="15" customHeight="1" x14ac:dyDescent="0.2">
      <c r="A58" s="7">
        <v>53</v>
      </c>
      <c r="B58" s="8" t="s">
        <v>176</v>
      </c>
      <c r="C58" s="7" t="s">
        <v>177</v>
      </c>
      <c r="D58" s="7" t="s">
        <v>178</v>
      </c>
      <c r="E58" s="7">
        <v>2</v>
      </c>
      <c r="F58" s="7">
        <v>2</v>
      </c>
      <c r="G58" s="7">
        <v>213</v>
      </c>
      <c r="H58" s="9">
        <v>2022</v>
      </c>
      <c r="I58" s="7"/>
      <c r="J58" s="7"/>
      <c r="K58" s="7"/>
      <c r="L58" s="7"/>
      <c r="M58" s="7" t="str">
        <f>IFERROR(INDEX(Task!$A:$A,MATCH(TRIM(SUBSTITUTE(B58," CFST","")),Task!$G:$G,0)),"")</f>
        <v>1.600</v>
      </c>
      <c r="N58" s="7" t="str">
        <f>IF(M58="","",IFERROR(INDEX(Orca!$B:$B,MATCH(--M58,Orca!$A:$A,0)),""))</f>
        <v>C</v>
      </c>
    </row>
    <row r="59" spans="1:14" ht="15" customHeight="1" x14ac:dyDescent="0.2">
      <c r="A59" s="10">
        <v>54</v>
      </c>
      <c r="B59" s="11" t="s">
        <v>179</v>
      </c>
      <c r="C59" s="10" t="s">
        <v>180</v>
      </c>
      <c r="D59" s="10" t="s">
        <v>181</v>
      </c>
      <c r="E59" s="10">
        <v>2</v>
      </c>
      <c r="F59" s="10">
        <v>3</v>
      </c>
      <c r="G59" s="10">
        <v>216</v>
      </c>
      <c r="H59" s="12">
        <v>2255</v>
      </c>
      <c r="I59" s="10"/>
      <c r="J59" s="10"/>
      <c r="K59" s="10"/>
      <c r="L59" s="10"/>
      <c r="M59" s="10" t="str">
        <f>IFERROR(INDEX(Task!$A:$A,MATCH(TRIM(SUBSTITUTE(B59," CFST","")),Task!$G:$G,0)),"")</f>
        <v>1.584</v>
      </c>
      <c r="N59" s="7" t="str">
        <f>IF(M59="","",IFERROR(INDEX(Orca!$B:$B,MATCH(--M59,Orca!$A:$A,0)),""))</f>
        <v>C</v>
      </c>
    </row>
    <row r="60" spans="1:14" ht="15" customHeight="1" x14ac:dyDescent="0.2">
      <c r="A60" s="7">
        <v>55</v>
      </c>
      <c r="B60" s="8" t="s">
        <v>182</v>
      </c>
      <c r="C60" s="7" t="s">
        <v>183</v>
      </c>
      <c r="D60" s="7" t="s">
        <v>184</v>
      </c>
      <c r="E60" s="7">
        <v>4</v>
      </c>
      <c r="F60" s="7">
        <v>4</v>
      </c>
      <c r="G60" s="7">
        <v>220</v>
      </c>
      <c r="H60" s="9">
        <v>15579</v>
      </c>
      <c r="I60" s="7"/>
      <c r="J60" s="7"/>
      <c r="K60" s="7"/>
      <c r="L60" s="7"/>
      <c r="M60" s="7" t="str">
        <f>IFERROR(INDEX(Task!$A:$A,MATCH(TRIM(SUBSTITUTE(B60," CFST","")),Task!$G:$G,0)),"")</f>
        <v>1.539</v>
      </c>
      <c r="N60" s="7" t="str">
        <f>IF(M60="","",IFERROR(INDEX(Orca!$B:$B,MATCH(--M60,Orca!$A:$A,0)),""))</f>
        <v>C</v>
      </c>
    </row>
    <row r="61" spans="1:14" ht="15" customHeight="1" x14ac:dyDescent="0.2">
      <c r="A61" s="10">
        <v>56</v>
      </c>
      <c r="B61" s="11" t="s">
        <v>185</v>
      </c>
      <c r="C61" s="10" t="s">
        <v>186</v>
      </c>
      <c r="D61" s="10" t="s">
        <v>187</v>
      </c>
      <c r="E61" s="10">
        <v>4</v>
      </c>
      <c r="F61" s="10">
        <v>1</v>
      </c>
      <c r="G61" s="10">
        <v>221</v>
      </c>
      <c r="H61" s="12">
        <v>15579</v>
      </c>
      <c r="I61" s="10"/>
      <c r="J61" s="10"/>
      <c r="K61" s="10"/>
      <c r="L61" s="10"/>
      <c r="M61" s="10" t="str">
        <f>IFERROR(INDEX(Task!$A:$A,MATCH(TRIM(SUBSTITUTE(B61," CFST","")),Task!$G:$G,0)),"")</f>
        <v>1.526</v>
      </c>
      <c r="N61" s="7" t="str">
        <f>IF(M61="","",IFERROR(INDEX(Orca!$B:$B,MATCH(--M61,Orca!$A:$A,0)),""))</f>
        <v>C</v>
      </c>
    </row>
    <row r="62" spans="1:14" ht="15" customHeight="1" x14ac:dyDescent="0.2">
      <c r="A62" s="7">
        <v>57</v>
      </c>
      <c r="B62" s="8" t="s">
        <v>188</v>
      </c>
      <c r="C62" s="7" t="s">
        <v>189</v>
      </c>
      <c r="D62" s="7" t="s">
        <v>190</v>
      </c>
      <c r="E62" s="7">
        <v>2</v>
      </c>
      <c r="F62" s="7">
        <v>2</v>
      </c>
      <c r="G62" s="7">
        <v>225</v>
      </c>
      <c r="H62" s="9">
        <v>2708</v>
      </c>
      <c r="I62" s="7"/>
      <c r="J62" s="7"/>
      <c r="K62" s="7"/>
      <c r="L62" s="7"/>
      <c r="M62" s="7" t="str">
        <f>IFERROR(INDEX(Task!$A:$A,MATCH(TRIM(SUBSTITUTE(B62," CFST","")),Task!$G:$G,0)),"")</f>
        <v>1.514</v>
      </c>
      <c r="N62" s="7" t="str">
        <f>IF(M62="","",IFERROR(INDEX(Orca!$B:$B,MATCH(--M62,Orca!$A:$A,0)),""))</f>
        <v>C</v>
      </c>
    </row>
    <row r="63" spans="1:14" ht="15" customHeight="1" x14ac:dyDescent="0.2">
      <c r="A63" s="10">
        <v>58</v>
      </c>
      <c r="B63" s="11" t="s">
        <v>191</v>
      </c>
      <c r="C63" s="10" t="s">
        <v>192</v>
      </c>
      <c r="D63" s="10" t="s">
        <v>193</v>
      </c>
      <c r="E63" s="10">
        <v>2</v>
      </c>
      <c r="F63" s="10">
        <v>3</v>
      </c>
      <c r="G63" s="10">
        <v>228</v>
      </c>
      <c r="H63" s="12">
        <v>2888</v>
      </c>
      <c r="I63" s="10"/>
      <c r="J63" s="10"/>
      <c r="K63" s="10"/>
      <c r="L63" s="10"/>
      <c r="M63" s="10" t="str">
        <f>IFERROR(INDEX(Task!$A:$A,MATCH(TRIM(SUBSTITUTE(B63," CFST","")),Task!$G:$G,0)),"")</f>
        <v>1.478</v>
      </c>
      <c r="N63" s="7" t="str">
        <f>IF(M63="","",IFERROR(INDEX(Orca!$B:$B,MATCH(--M63,Orca!$A:$A,0)),""))</f>
        <v>C</v>
      </c>
    </row>
    <row r="64" spans="1:14" ht="15" customHeight="1" x14ac:dyDescent="0.2">
      <c r="A64" s="7">
        <v>59</v>
      </c>
      <c r="B64" s="8" t="s">
        <v>194</v>
      </c>
      <c r="C64" s="7" t="s">
        <v>195</v>
      </c>
      <c r="D64" s="7" t="s">
        <v>196</v>
      </c>
      <c r="E64" s="7">
        <v>2</v>
      </c>
      <c r="F64" s="7">
        <v>2</v>
      </c>
      <c r="G64" s="7">
        <v>229</v>
      </c>
      <c r="H64" s="9">
        <v>2995</v>
      </c>
      <c r="I64" s="7"/>
      <c r="J64" s="7"/>
      <c r="K64" s="7"/>
      <c r="L64" s="7"/>
      <c r="M64" s="7" t="str">
        <f>IFERROR(INDEX(Task!$A:$A,MATCH(TRIM(SUBSTITUTE(B64," CFST","")),Task!$G:$G,0)),"")</f>
        <v>1.497</v>
      </c>
      <c r="N64" s="7" t="str">
        <f>IF(M64="","",IFERROR(INDEX(Orca!$B:$B,MATCH(--M64,Orca!$A:$A,0)),""))</f>
        <v>C</v>
      </c>
    </row>
    <row r="65" spans="1:14" ht="15" customHeight="1" x14ac:dyDescent="0.2">
      <c r="A65" s="10">
        <v>60</v>
      </c>
      <c r="B65" s="11" t="s">
        <v>197</v>
      </c>
      <c r="C65" s="10" t="s">
        <v>198</v>
      </c>
      <c r="D65" s="10" t="s">
        <v>199</v>
      </c>
      <c r="E65" s="10">
        <v>2</v>
      </c>
      <c r="F65" s="10">
        <v>3</v>
      </c>
      <c r="G65" s="10">
        <v>232</v>
      </c>
      <c r="H65" s="12">
        <v>3190</v>
      </c>
      <c r="I65" s="10"/>
      <c r="J65" s="10"/>
      <c r="K65" s="10"/>
      <c r="L65" s="10"/>
      <c r="M65" s="10" t="str">
        <f>IFERROR(INDEX(Task!$A:$A,MATCH(TRIM(SUBSTITUTE(B65," CFST","")),Task!$G:$G,0)),"")</f>
        <v>1.534</v>
      </c>
      <c r="N65" s="7" t="str">
        <f>IF(M65="","",IFERROR(INDEX(Orca!$B:$B,MATCH(--M65,Orca!$A:$A,0)),""))</f>
        <v>C</v>
      </c>
    </row>
    <row r="66" spans="1:14" ht="15" customHeight="1" x14ac:dyDescent="0.2">
      <c r="A66" s="7">
        <v>61</v>
      </c>
      <c r="B66" s="8" t="s">
        <v>200</v>
      </c>
      <c r="C66" s="7" t="s">
        <v>201</v>
      </c>
      <c r="D66" s="7" t="s">
        <v>202</v>
      </c>
      <c r="E66" s="7">
        <v>2</v>
      </c>
      <c r="F66" s="7">
        <v>2</v>
      </c>
      <c r="G66" s="7">
        <v>233</v>
      </c>
      <c r="H66" s="9">
        <v>3456</v>
      </c>
      <c r="I66" s="7"/>
      <c r="J66" s="7"/>
      <c r="K66" s="7"/>
      <c r="L66" s="7"/>
      <c r="M66" s="7" t="str">
        <f>IFERROR(INDEX(Task!$A:$A,MATCH(TRIM(SUBSTITUTE(B66," CFST","")),Task!$G:$G,0)),"")</f>
        <v>1.513</v>
      </c>
      <c r="N66" s="7" t="str">
        <f>IF(M66="","",IFERROR(INDEX(Orca!$B:$B,MATCH(--M66,Orca!$A:$A,0)),""))</f>
        <v>C</v>
      </c>
    </row>
    <row r="67" spans="1:14" ht="15" customHeight="1" x14ac:dyDescent="0.2">
      <c r="A67" s="10">
        <v>62</v>
      </c>
      <c r="B67" s="11" t="s">
        <v>203</v>
      </c>
      <c r="C67" s="10" t="s">
        <v>204</v>
      </c>
      <c r="D67" s="10" t="s">
        <v>205</v>
      </c>
      <c r="E67" s="10">
        <v>2</v>
      </c>
      <c r="F67" s="10">
        <v>3</v>
      </c>
      <c r="G67" s="10">
        <v>236</v>
      </c>
      <c r="H67" s="12">
        <v>3569</v>
      </c>
      <c r="I67" s="10"/>
      <c r="J67" s="10"/>
      <c r="K67" s="10"/>
      <c r="L67" s="10"/>
      <c r="M67" s="10" t="str">
        <f>IFERROR(INDEX(Task!$A:$A,MATCH(TRIM(SUBSTITUTE(B67," CFST","")),Task!$G:$G,0)),"")</f>
        <v>1.530</v>
      </c>
      <c r="N67" s="7" t="str">
        <f>IF(M67="","",IFERROR(INDEX(Orca!$B:$B,MATCH(--M67,Orca!$A:$A,0)),""))</f>
        <v>C</v>
      </c>
    </row>
    <row r="68" spans="1:14" ht="15" customHeight="1" x14ac:dyDescent="0.2">
      <c r="A68" s="7">
        <v>63</v>
      </c>
      <c r="B68" s="8" t="s">
        <v>206</v>
      </c>
      <c r="C68" s="7" t="s">
        <v>207</v>
      </c>
      <c r="D68" s="7" t="s">
        <v>208</v>
      </c>
      <c r="E68" s="7">
        <v>2</v>
      </c>
      <c r="F68" s="7">
        <v>2</v>
      </c>
      <c r="G68" s="7">
        <v>237</v>
      </c>
      <c r="H68" s="9">
        <v>3796</v>
      </c>
      <c r="I68" s="7"/>
      <c r="J68" s="7"/>
      <c r="K68" s="7"/>
      <c r="L68" s="7"/>
      <c r="M68" s="7" t="str">
        <f>IFERROR(INDEX(Task!$A:$A,MATCH(TRIM(SUBSTITUTE(B68," CFST","")),Task!$G:$G,0)),"")</f>
        <v>1.587</v>
      </c>
      <c r="N68" s="7" t="str">
        <f>IF(M68="","",IFERROR(INDEX(Orca!$B:$B,MATCH(--M68,Orca!$A:$A,0)),""))</f>
        <v>C</v>
      </c>
    </row>
    <row r="69" spans="1:14" ht="15" customHeight="1" x14ac:dyDescent="0.2">
      <c r="A69" s="10">
        <v>64</v>
      </c>
      <c r="B69" s="11" t="s">
        <v>209</v>
      </c>
      <c r="C69" s="10" t="s">
        <v>210</v>
      </c>
      <c r="D69" s="10" t="s">
        <v>211</v>
      </c>
      <c r="E69" s="10">
        <v>2</v>
      </c>
      <c r="F69" s="10">
        <v>3</v>
      </c>
      <c r="G69" s="10">
        <v>240</v>
      </c>
      <c r="H69" s="12">
        <v>4230</v>
      </c>
      <c r="I69" s="10"/>
      <c r="J69" s="10"/>
      <c r="K69" s="10"/>
      <c r="L69" s="10"/>
      <c r="M69" s="10" t="str">
        <f>IFERROR(INDEX(Task!$A:$A,MATCH(TRIM(SUBSTITUTE(B69," CFST","")),Task!$G:$G,0)),"")</f>
        <v>1.500</v>
      </c>
      <c r="N69" s="7" t="str">
        <f>IF(M69="","",IFERROR(INDEX(Orca!$B:$B,MATCH(--M69,Orca!$A:$A,0)),""))</f>
        <v>C</v>
      </c>
    </row>
    <row r="70" spans="1:14" ht="15" customHeight="1" x14ac:dyDescent="0.2">
      <c r="A70" s="7">
        <v>65</v>
      </c>
      <c r="B70" s="8" t="s">
        <v>212</v>
      </c>
      <c r="C70" s="7" t="s">
        <v>213</v>
      </c>
      <c r="D70" s="7" t="s">
        <v>214</v>
      </c>
      <c r="E70" s="7">
        <v>2</v>
      </c>
      <c r="F70" s="7">
        <v>2</v>
      </c>
      <c r="G70" s="7">
        <v>249</v>
      </c>
      <c r="H70" s="9">
        <v>4178</v>
      </c>
      <c r="I70" s="7"/>
      <c r="J70" s="7"/>
      <c r="K70" s="7"/>
      <c r="L70" s="7"/>
      <c r="M70" s="7" t="str">
        <f>IFERROR(INDEX(Task!$A:$A,MATCH(TRIM(SUBSTITUTE(B70," CFST","")),Task!$G:$G,0)),"")</f>
        <v>1.491</v>
      </c>
      <c r="N70" s="7" t="str">
        <f>IF(M70="","",IFERROR(INDEX(Orca!$B:$B,MATCH(--M70,Orca!$A:$A,0)),""))</f>
        <v>C</v>
      </c>
    </row>
    <row r="71" spans="1:14" ht="15" customHeight="1" x14ac:dyDescent="0.2">
      <c r="A71" s="10">
        <v>66</v>
      </c>
      <c r="B71" s="11" t="s">
        <v>215</v>
      </c>
      <c r="C71" s="10" t="s">
        <v>216</v>
      </c>
      <c r="D71" s="10" t="s">
        <v>217</v>
      </c>
      <c r="E71" s="10">
        <v>2</v>
      </c>
      <c r="F71" s="10">
        <v>3</v>
      </c>
      <c r="G71" s="10">
        <v>252</v>
      </c>
      <c r="H71" s="12">
        <v>4216</v>
      </c>
      <c r="I71" s="10"/>
      <c r="J71" s="10"/>
      <c r="K71" s="10"/>
      <c r="L71" s="10"/>
      <c r="M71" s="10" t="str">
        <f>IFERROR(INDEX(Task!$A:$A,MATCH(TRIM(SUBSTITUTE(B71," CFST","")),Task!$G:$G,0)),"")</f>
        <v>1.588</v>
      </c>
      <c r="N71" s="7" t="str">
        <f>IF(M71="","",IFERROR(INDEX(Orca!$B:$B,MATCH(--M71,Orca!$A:$A,0)),""))</f>
        <v>C</v>
      </c>
    </row>
    <row r="72" spans="1:14" ht="15" customHeight="1" x14ac:dyDescent="0.2">
      <c r="A72" s="7">
        <v>67</v>
      </c>
      <c r="B72" s="8" t="s">
        <v>218</v>
      </c>
      <c r="C72" s="7" t="s">
        <v>219</v>
      </c>
      <c r="D72" s="7" t="s">
        <v>220</v>
      </c>
      <c r="E72" s="7">
        <v>4</v>
      </c>
      <c r="F72" s="7">
        <v>4</v>
      </c>
      <c r="G72" s="7">
        <v>264</v>
      </c>
      <c r="H72" s="9">
        <v>3759</v>
      </c>
      <c r="I72" s="7"/>
      <c r="J72" s="7"/>
      <c r="K72" s="7"/>
      <c r="L72" s="7"/>
      <c r="M72" s="7" t="str">
        <f>IFERROR(INDEX(Task!$A:$A,MATCH(TRIM(SUBSTITUTE(B72," CFST","")),Task!$G:$G,0)),"")</f>
        <v>1.644</v>
      </c>
      <c r="N72" s="7" t="str">
        <f>IF(M72="","",IFERROR(INDEX(Orca!$B:$B,MATCH(--M72,Orca!$A:$A,0)),""))</f>
        <v>C</v>
      </c>
    </row>
    <row r="73" spans="1:14" ht="15" customHeight="1" x14ac:dyDescent="0.2">
      <c r="A73" s="10">
        <v>68</v>
      </c>
      <c r="B73" s="11" t="s">
        <v>221</v>
      </c>
      <c r="C73" s="10" t="s">
        <v>222</v>
      </c>
      <c r="D73" s="10" t="s">
        <v>223</v>
      </c>
      <c r="E73" s="10">
        <v>4</v>
      </c>
      <c r="F73" s="10">
        <v>1</v>
      </c>
      <c r="G73" s="10">
        <v>265</v>
      </c>
      <c r="H73" s="12">
        <v>3666</v>
      </c>
      <c r="I73" s="10"/>
      <c r="J73" s="10"/>
      <c r="K73" s="10"/>
      <c r="L73" s="10"/>
      <c r="M73" s="10" t="str">
        <f>IFERROR(INDEX(Task!$A:$A,MATCH(TRIM(SUBSTITUTE(B73," CFST","")),Task!$G:$G,0)),"")</f>
        <v>1.576</v>
      </c>
      <c r="N73" s="7" t="str">
        <f>IF(M73="","",IFERROR(INDEX(Orca!$B:$B,MATCH(--M73,Orca!$A:$A,0)),""))</f>
        <v>O</v>
      </c>
    </row>
    <row r="74" spans="1:14" ht="15" customHeight="1" x14ac:dyDescent="0.2">
      <c r="A74" s="7">
        <v>69</v>
      </c>
      <c r="B74" s="8" t="s">
        <v>224</v>
      </c>
      <c r="C74" s="7" t="s">
        <v>225</v>
      </c>
      <c r="D74" s="7" t="s">
        <v>226</v>
      </c>
      <c r="E74" s="7">
        <v>4</v>
      </c>
      <c r="F74" s="7">
        <v>2</v>
      </c>
      <c r="G74" s="7">
        <v>270</v>
      </c>
      <c r="H74" s="9">
        <v>4445</v>
      </c>
      <c r="I74" s="7"/>
      <c r="J74" s="7"/>
      <c r="K74" s="7"/>
      <c r="L74" s="7"/>
      <c r="M74" s="7" t="str">
        <f>IFERROR(INDEX(Task!$A:$A,MATCH(TRIM(SUBSTITUTE(B74," CFST","")),Task!$G:$G,0)),"")</f>
        <v>1.591</v>
      </c>
      <c r="N74" s="7" t="str">
        <f>IF(M74="","",IFERROR(INDEX(Orca!$B:$B,MATCH(--M74,Orca!$A:$A,0)),""))</f>
        <v>C</v>
      </c>
    </row>
    <row r="75" spans="1:14" ht="15" customHeight="1" x14ac:dyDescent="0.2">
      <c r="A75" s="10">
        <v>70</v>
      </c>
      <c r="B75" s="11" t="s">
        <v>227</v>
      </c>
      <c r="C75" s="10" t="s">
        <v>228</v>
      </c>
      <c r="D75" s="10" t="s">
        <v>229</v>
      </c>
      <c r="E75" s="10">
        <v>4</v>
      </c>
      <c r="F75" s="10">
        <v>3</v>
      </c>
      <c r="G75" s="10">
        <v>275</v>
      </c>
      <c r="H75" s="12">
        <v>3897</v>
      </c>
      <c r="I75" s="10"/>
      <c r="J75" s="10"/>
      <c r="K75" s="10"/>
      <c r="L75" s="10"/>
      <c r="M75" s="10" t="str">
        <f>IFERROR(INDEX(Task!$A:$A,MATCH(TRIM(SUBSTITUTE(B75," CFST","")),Task!$G:$G,0)),"")</f>
        <v>1.520</v>
      </c>
      <c r="N75" s="7" t="str">
        <f>IF(M75="","",IFERROR(INDEX(Orca!$B:$B,MATCH(--M75,Orca!$A:$A,0)),""))</f>
        <v>C</v>
      </c>
    </row>
    <row r="76" spans="1:14" ht="15" customHeight="1" x14ac:dyDescent="0.2">
      <c r="A76" s="7">
        <v>71</v>
      </c>
      <c r="B76" s="8" t="s">
        <v>230</v>
      </c>
      <c r="C76" s="7" t="s">
        <v>231</v>
      </c>
      <c r="D76" s="7" t="s">
        <v>232</v>
      </c>
      <c r="E76" s="7">
        <v>2</v>
      </c>
      <c r="F76" s="7">
        <v>2</v>
      </c>
      <c r="G76" s="7">
        <v>279</v>
      </c>
      <c r="H76" s="9">
        <v>3211</v>
      </c>
      <c r="I76" s="7"/>
      <c r="J76" s="7"/>
      <c r="K76" s="7"/>
      <c r="L76" s="7"/>
      <c r="M76" s="7" t="str">
        <f>IFERROR(INDEX(Task!$A:$A,MATCH(TRIM(SUBSTITUTE(B76," CFST","")),Task!$G:$G,0)),"")</f>
        <v>1.595</v>
      </c>
      <c r="N76" s="7" t="str">
        <f>IF(M76="","",IFERROR(INDEX(Orca!$B:$B,MATCH(--M76,Orca!$A:$A,0)),""))</f>
        <v>C</v>
      </c>
    </row>
    <row r="77" spans="1:14" ht="15" customHeight="1" x14ac:dyDescent="0.2">
      <c r="A77" s="10">
        <v>72</v>
      </c>
      <c r="B77" s="11" t="s">
        <v>233</v>
      </c>
      <c r="C77" s="10" t="s">
        <v>234</v>
      </c>
      <c r="D77" s="10" t="s">
        <v>235</v>
      </c>
      <c r="E77" s="10">
        <v>2</v>
      </c>
      <c r="F77" s="10">
        <v>3</v>
      </c>
      <c r="G77" s="10">
        <v>282</v>
      </c>
      <c r="H77" s="12">
        <v>3318</v>
      </c>
      <c r="I77" s="10"/>
      <c r="J77" s="10"/>
      <c r="K77" s="10"/>
      <c r="L77" s="10"/>
      <c r="M77" s="10" t="str">
        <f>IFERROR(INDEX(Task!$A:$A,MATCH(TRIM(SUBSTITUTE(B77," CFST","")),Task!$G:$G,0)),"")</f>
        <v>1.663</v>
      </c>
      <c r="N77" s="7" t="str">
        <f>IF(M77="","",IFERROR(INDEX(Orca!$B:$B,MATCH(--M77,Orca!$A:$A,0)),""))</f>
        <v>C</v>
      </c>
    </row>
    <row r="78" spans="1:14" ht="15" customHeight="1" x14ac:dyDescent="0.2">
      <c r="A78" s="7">
        <v>73</v>
      </c>
      <c r="B78" s="8" t="s">
        <v>236</v>
      </c>
      <c r="C78" s="7" t="s">
        <v>237</v>
      </c>
      <c r="D78" s="7" t="s">
        <v>238</v>
      </c>
      <c r="E78" s="7">
        <v>4</v>
      </c>
      <c r="F78" s="7">
        <v>4</v>
      </c>
      <c r="G78" s="7">
        <v>286</v>
      </c>
      <c r="H78" s="9">
        <v>3610</v>
      </c>
      <c r="I78" s="7"/>
      <c r="J78" s="7"/>
      <c r="K78" s="7"/>
      <c r="L78" s="7"/>
      <c r="M78" s="7" t="str">
        <f>IFERROR(INDEX(Task!$A:$A,MATCH(TRIM(SUBSTITUTE(B78," CFST","")),Task!$G:$G,0)),"")</f>
        <v>1.608</v>
      </c>
      <c r="N78" s="7" t="str">
        <f>IF(M78="","",IFERROR(INDEX(Orca!$B:$B,MATCH(--M78,Orca!$A:$A,0)),""))</f>
        <v>C</v>
      </c>
    </row>
    <row r="79" spans="1:14" ht="15" customHeight="1" x14ac:dyDescent="0.2">
      <c r="A79" s="10">
        <v>74</v>
      </c>
      <c r="B79" s="11" t="s">
        <v>239</v>
      </c>
      <c r="C79" s="10" t="s">
        <v>240</v>
      </c>
      <c r="D79" s="10" t="s">
        <v>241</v>
      </c>
      <c r="E79" s="10">
        <v>2</v>
      </c>
      <c r="F79" s="10">
        <v>2</v>
      </c>
      <c r="G79" s="10">
        <v>287</v>
      </c>
      <c r="H79" s="12">
        <v>3761</v>
      </c>
      <c r="I79" s="10"/>
      <c r="J79" s="10"/>
      <c r="K79" s="10"/>
      <c r="L79" s="10"/>
      <c r="M79" s="10" t="str">
        <f>IFERROR(INDEX(Task!$A:$A,MATCH(TRIM(SUBSTITUTE(B79," CFST","")),Task!$G:$G,0)),"")</f>
        <v>1.495</v>
      </c>
      <c r="N79" s="7" t="str">
        <f>IF(M79="","",IFERROR(INDEX(Orca!$B:$B,MATCH(--M79,Orca!$A:$A,0)),""))</f>
        <v>C</v>
      </c>
    </row>
    <row r="80" spans="1:14" ht="15" customHeight="1" x14ac:dyDescent="0.2">
      <c r="A80" s="7">
        <v>75</v>
      </c>
      <c r="B80" s="8" t="s">
        <v>242</v>
      </c>
      <c r="C80" s="7" t="s">
        <v>243</v>
      </c>
      <c r="D80" s="7" t="s">
        <v>244</v>
      </c>
      <c r="E80" s="7">
        <v>4</v>
      </c>
      <c r="F80" s="7">
        <v>3</v>
      </c>
      <c r="G80" s="7">
        <v>291</v>
      </c>
      <c r="H80" s="9">
        <v>4011</v>
      </c>
      <c r="I80" s="7"/>
      <c r="J80" s="7"/>
      <c r="K80" s="7"/>
      <c r="L80" s="7"/>
      <c r="M80" s="7" t="str">
        <f>IFERROR(INDEX(Task!$A:$A,MATCH(TRIM(SUBSTITUTE(B80," CFST","")),Task!$G:$G,0)),"")</f>
        <v>1.532</v>
      </c>
      <c r="N80" s="7" t="str">
        <f>IF(M80="","",IFERROR(INDEX(Orca!$B:$B,MATCH(--M80,Orca!$A:$A,0)),""))</f>
        <v>C</v>
      </c>
    </row>
    <row r="81" spans="1:14" ht="15" customHeight="1" x14ac:dyDescent="0.2">
      <c r="A81" s="10">
        <v>76</v>
      </c>
      <c r="B81" s="11" t="s">
        <v>245</v>
      </c>
      <c r="C81" s="10" t="s">
        <v>246</v>
      </c>
      <c r="D81" s="10" t="s">
        <v>247</v>
      </c>
      <c r="E81" s="10">
        <v>4</v>
      </c>
      <c r="F81" s="10">
        <v>4</v>
      </c>
      <c r="G81" s="10">
        <v>296</v>
      </c>
      <c r="H81" s="12">
        <v>3777</v>
      </c>
      <c r="I81" s="10"/>
      <c r="J81" s="10"/>
      <c r="K81" s="10"/>
      <c r="L81" s="10"/>
      <c r="M81" s="10" t="str">
        <f>IFERROR(INDEX(Task!$A:$A,MATCH(TRIM(SUBSTITUTE(B81," CFST","")),Task!$G:$G,0)),"")</f>
        <v>1.664</v>
      </c>
      <c r="N81" s="7" t="str">
        <f>IF(M81="","",IFERROR(INDEX(Orca!$B:$B,MATCH(--M81,Orca!$A:$A,0)),""))</f>
        <v>C</v>
      </c>
    </row>
    <row r="82" spans="1:14" ht="15" customHeight="1" x14ac:dyDescent="0.2">
      <c r="A82" s="7">
        <v>77</v>
      </c>
      <c r="B82" s="8" t="s">
        <v>248</v>
      </c>
      <c r="C82" s="7" t="s">
        <v>249</v>
      </c>
      <c r="D82" s="7" t="s">
        <v>250</v>
      </c>
      <c r="E82" s="7">
        <v>4</v>
      </c>
      <c r="F82" s="7">
        <v>1</v>
      </c>
      <c r="G82" s="7">
        <v>297</v>
      </c>
      <c r="H82" s="9">
        <v>3347</v>
      </c>
      <c r="I82" s="7"/>
      <c r="J82" s="7"/>
      <c r="K82" s="7"/>
      <c r="L82" s="7"/>
      <c r="M82" s="7" t="str">
        <f>IFERROR(INDEX(Task!$A:$A,MATCH(TRIM(SUBSTITUTE(B82," CFST","")),Task!$G:$G,0)),"")</f>
        <v>1.613</v>
      </c>
      <c r="N82" s="7" t="str">
        <f>IF(M82="","",IFERROR(INDEX(Orca!$B:$B,MATCH(--M82,Orca!$A:$A,0)),""))</f>
        <v>C</v>
      </c>
    </row>
    <row r="83" spans="1:14" ht="15" customHeight="1" x14ac:dyDescent="0.2">
      <c r="A83" s="10">
        <v>78</v>
      </c>
      <c r="B83" s="11" t="s">
        <v>251</v>
      </c>
      <c r="C83" s="10" t="s">
        <v>252</v>
      </c>
      <c r="D83" s="10" t="s">
        <v>253</v>
      </c>
      <c r="E83" s="10">
        <v>2</v>
      </c>
      <c r="F83" s="10">
        <v>2</v>
      </c>
      <c r="G83" s="10">
        <v>303</v>
      </c>
      <c r="H83" s="12">
        <v>2799</v>
      </c>
      <c r="I83" s="10"/>
      <c r="J83" s="10"/>
      <c r="K83" s="10"/>
      <c r="L83" s="10"/>
      <c r="M83" s="10" t="str">
        <f>IFERROR(INDEX(Task!$A:$A,MATCH(TRIM(SUBSTITUTE(B83," CFST","")),Task!$G:$G,0)),"")</f>
        <v>1.577</v>
      </c>
      <c r="N83" s="7" t="str">
        <f>IF(M83="","",IFERROR(INDEX(Orca!$B:$B,MATCH(--M83,Orca!$A:$A,0)),""))</f>
        <v>C</v>
      </c>
    </row>
    <row r="84" spans="1:14" ht="15" customHeight="1" x14ac:dyDescent="0.2">
      <c r="A84" s="7">
        <v>79</v>
      </c>
      <c r="B84" s="8" t="s">
        <v>254</v>
      </c>
      <c r="C84" s="7" t="s">
        <v>255</v>
      </c>
      <c r="D84" s="7" t="s">
        <v>256</v>
      </c>
      <c r="E84" s="7">
        <v>2</v>
      </c>
      <c r="F84" s="7">
        <v>3</v>
      </c>
      <c r="G84" s="7">
        <v>306</v>
      </c>
      <c r="H84" s="9">
        <v>3012</v>
      </c>
      <c r="I84" s="7"/>
      <c r="J84" s="7"/>
      <c r="K84" s="7"/>
      <c r="L84" s="7"/>
      <c r="M84" s="7" t="str">
        <f>IFERROR(INDEX(Task!$A:$A,MATCH(TRIM(SUBSTITUTE(B84," CFST","")),Task!$G:$G,0)),"")</f>
        <v>1.614</v>
      </c>
      <c r="N84" s="7" t="str">
        <f>IF(M84="","",IFERROR(INDEX(Orca!$B:$B,MATCH(--M84,Orca!$A:$A,0)),""))</f>
        <v>C</v>
      </c>
    </row>
    <row r="85" spans="1:14" ht="15" customHeight="1" x14ac:dyDescent="0.2">
      <c r="A85" s="10">
        <v>80</v>
      </c>
      <c r="B85" s="11" t="s">
        <v>257</v>
      </c>
      <c r="C85" s="10" t="s">
        <v>258</v>
      </c>
      <c r="D85" s="10" t="s">
        <v>259</v>
      </c>
      <c r="E85" s="10">
        <v>2</v>
      </c>
      <c r="F85" s="10">
        <v>2</v>
      </c>
      <c r="G85" s="10">
        <v>307</v>
      </c>
      <c r="H85" s="12">
        <v>3080</v>
      </c>
      <c r="I85" s="10"/>
      <c r="J85" s="10"/>
      <c r="K85" s="10"/>
      <c r="L85" s="10"/>
      <c r="M85" s="10" t="str">
        <f>IFERROR(INDEX(Task!$A:$A,MATCH(TRIM(SUBSTITUTE(B85," CFST","")),Task!$G:$G,0)),"")</f>
        <v>1.490</v>
      </c>
      <c r="N85" s="7" t="str">
        <f>IF(M85="","",IFERROR(INDEX(Orca!$B:$B,MATCH(--M85,Orca!$A:$A,0)),""))</f>
        <v>C</v>
      </c>
    </row>
    <row r="86" spans="1:14" ht="15" customHeight="1" x14ac:dyDescent="0.2">
      <c r="A86" s="7">
        <v>81</v>
      </c>
      <c r="B86" s="8" t="s">
        <v>260</v>
      </c>
      <c r="C86" s="7" t="s">
        <v>261</v>
      </c>
      <c r="D86" s="7" t="s">
        <v>262</v>
      </c>
      <c r="E86" s="7">
        <v>2</v>
      </c>
      <c r="F86" s="7">
        <v>3</v>
      </c>
      <c r="G86" s="7">
        <v>310</v>
      </c>
      <c r="H86" s="9">
        <v>2936</v>
      </c>
      <c r="I86" s="7"/>
      <c r="J86" s="7"/>
      <c r="K86" s="7"/>
      <c r="L86" s="7"/>
      <c r="M86" s="7" t="str">
        <f>IFERROR(INDEX(Task!$A:$A,MATCH(TRIM(SUBSTITUTE(B86," CFST","")),Task!$G:$G,0)),"")</f>
        <v>1.639</v>
      </c>
      <c r="N86" s="7" t="str">
        <f>IF(M86="","",IFERROR(INDEX(Orca!$B:$B,MATCH(--M86,Orca!$A:$A,0)),""))</f>
        <v>C</v>
      </c>
    </row>
    <row r="87" spans="1:14" ht="15" customHeight="1" x14ac:dyDescent="0.2">
      <c r="A87" s="10">
        <v>82</v>
      </c>
      <c r="B87" s="11" t="s">
        <v>263</v>
      </c>
      <c r="C87" s="10" t="s">
        <v>264</v>
      </c>
      <c r="D87" s="10" t="s">
        <v>265</v>
      </c>
      <c r="E87" s="10">
        <v>2</v>
      </c>
      <c r="F87" s="10">
        <v>2</v>
      </c>
      <c r="G87" s="10">
        <v>311</v>
      </c>
      <c r="H87" s="12">
        <v>2985</v>
      </c>
      <c r="I87" s="10"/>
      <c r="J87" s="10"/>
      <c r="K87" s="10"/>
      <c r="L87" s="10"/>
      <c r="M87" s="10" t="str">
        <f>IFERROR(INDEX(Task!$A:$A,MATCH(TRIM(SUBSTITUTE(B87," CFST","")),Task!$G:$G,0)),"")</f>
        <v>1.635</v>
      </c>
      <c r="N87" s="7" t="str">
        <f>IF(M87="","",IFERROR(INDEX(Orca!$B:$B,MATCH(--M87,Orca!$A:$A,0)),""))</f>
        <v>C</v>
      </c>
    </row>
    <row r="88" spans="1:14" ht="15" customHeight="1" x14ac:dyDescent="0.2">
      <c r="A88" s="7">
        <v>83</v>
      </c>
      <c r="B88" s="8" t="s">
        <v>266</v>
      </c>
      <c r="C88" s="7" t="s">
        <v>267</v>
      </c>
      <c r="D88" s="7" t="s">
        <v>268</v>
      </c>
      <c r="E88" s="7">
        <v>2</v>
      </c>
      <c r="F88" s="7">
        <v>3</v>
      </c>
      <c r="G88" s="7">
        <v>316</v>
      </c>
      <c r="H88" s="9">
        <v>2237</v>
      </c>
      <c r="I88" s="7"/>
      <c r="J88" s="7"/>
      <c r="K88" s="7"/>
      <c r="L88" s="7"/>
      <c r="M88" s="7" t="str">
        <f>IFERROR(INDEX(Task!$A:$A,MATCH(TRIM(SUBSTITUTE(B88," CFST","")),Task!$G:$G,0)),"")</f>
        <v>1.545</v>
      </c>
      <c r="N88" s="7" t="str">
        <f>IF(M88="","",IFERROR(INDEX(Orca!$B:$B,MATCH(--M88,Orca!$A:$A,0)),""))</f>
        <v>O</v>
      </c>
    </row>
    <row r="89" spans="1:14" ht="15" customHeight="1" x14ac:dyDescent="0.2">
      <c r="A89" s="10">
        <v>84</v>
      </c>
      <c r="B89" s="11" t="s">
        <v>269</v>
      </c>
      <c r="C89" s="10" t="s">
        <v>270</v>
      </c>
      <c r="D89" s="10" t="s">
        <v>271</v>
      </c>
      <c r="E89" s="10">
        <v>4</v>
      </c>
      <c r="F89" s="10">
        <v>4</v>
      </c>
      <c r="G89" s="10">
        <v>320</v>
      </c>
      <c r="H89" s="12">
        <v>2275</v>
      </c>
      <c r="I89" s="10"/>
      <c r="J89" s="10"/>
      <c r="K89" s="10"/>
      <c r="L89" s="10"/>
      <c r="M89" s="10" t="str">
        <f>IFERROR(INDEX(Task!$A:$A,MATCH(TRIM(SUBSTITUTE(B89," CFST","")),Task!$G:$G,0)),"")</f>
        <v>1.575</v>
      </c>
      <c r="N89" s="7" t="str">
        <f>IF(M89="","",IFERROR(INDEX(Orca!$B:$B,MATCH(--M89,Orca!$A:$A,0)),""))</f>
        <v>O</v>
      </c>
    </row>
    <row r="90" spans="1:14" ht="15" customHeight="1" x14ac:dyDescent="0.2">
      <c r="A90" s="7">
        <v>85</v>
      </c>
      <c r="B90" s="8" t="s">
        <v>272</v>
      </c>
      <c r="C90" s="7" t="s">
        <v>273</v>
      </c>
      <c r="D90" s="7" t="s">
        <v>274</v>
      </c>
      <c r="E90" s="7">
        <v>4</v>
      </c>
      <c r="F90" s="7">
        <v>1</v>
      </c>
      <c r="G90" s="7">
        <v>321</v>
      </c>
      <c r="H90" s="9">
        <v>2208</v>
      </c>
      <c r="I90" s="7"/>
      <c r="J90" s="7"/>
      <c r="K90" s="7"/>
      <c r="L90" s="7"/>
      <c r="M90" s="7" t="str">
        <f>IFERROR(INDEX(Task!$A:$A,MATCH(TRIM(SUBSTITUTE(B90," CFST","")),Task!$G:$G,0)),"")</f>
        <v>1.657</v>
      </c>
      <c r="N90" s="7" t="str">
        <f>IF(M90="","",IFERROR(INDEX(Orca!$B:$B,MATCH(--M90,Orca!$A:$A,0)),""))</f>
        <v>O</v>
      </c>
    </row>
    <row r="91" spans="1:14" ht="15" customHeight="1" x14ac:dyDescent="0.2">
      <c r="A91" s="10">
        <v>86</v>
      </c>
      <c r="B91" s="11" t="s">
        <v>275</v>
      </c>
      <c r="C91" s="10" t="s">
        <v>276</v>
      </c>
      <c r="D91" s="10" t="s">
        <v>277</v>
      </c>
      <c r="E91" s="10">
        <v>4</v>
      </c>
      <c r="F91" s="10">
        <v>2</v>
      </c>
      <c r="G91" s="10">
        <v>334</v>
      </c>
      <c r="H91" s="12">
        <v>1929</v>
      </c>
      <c r="I91" s="10"/>
      <c r="J91" s="10"/>
      <c r="K91" s="10"/>
      <c r="L91" s="10"/>
      <c r="M91" s="10" t="str">
        <f>IFERROR(INDEX(Task!$A:$A,MATCH(TRIM(SUBSTITUTE(B91," CFST","")),Task!$G:$G,0)),"")</f>
        <v>1.581</v>
      </c>
      <c r="N91" s="7" t="str">
        <f>IF(M91="","",IFERROR(INDEX(Orca!$B:$B,MATCH(--M91,Orca!$A:$A,0)),""))</f>
        <v>O</v>
      </c>
    </row>
    <row r="92" spans="1:14" ht="15" customHeight="1" x14ac:dyDescent="0.2">
      <c r="A92" s="7">
        <v>87</v>
      </c>
      <c r="B92" s="8" t="s">
        <v>278</v>
      </c>
      <c r="C92" s="7" t="s">
        <v>279</v>
      </c>
      <c r="D92" s="7" t="s">
        <v>280</v>
      </c>
      <c r="E92" s="7">
        <v>8</v>
      </c>
      <c r="F92" s="7">
        <v>3</v>
      </c>
      <c r="G92" s="7">
        <v>339</v>
      </c>
      <c r="H92" s="9">
        <v>2038</v>
      </c>
      <c r="I92" s="7"/>
      <c r="J92" s="7"/>
      <c r="K92" s="7"/>
      <c r="L92" s="7"/>
      <c r="M92" s="7" t="str">
        <f>IFERROR(INDEX(Task!$A:$A,MATCH(TRIM(SUBSTITUTE(B92," CFST","")),Task!$G:$G,0)),"")</f>
        <v>1.555</v>
      </c>
      <c r="N92" s="7" t="str">
        <f>IF(M92="","",IFERROR(INDEX(Orca!$B:$B,MATCH(--M92,Orca!$A:$A,0)),""))</f>
        <v>C</v>
      </c>
    </row>
    <row r="93" spans="1:14" ht="15" customHeight="1" x14ac:dyDescent="0.2">
      <c r="A93" s="10">
        <v>88</v>
      </c>
      <c r="B93" s="11" t="s">
        <v>281</v>
      </c>
      <c r="C93" s="10" t="s">
        <v>282</v>
      </c>
      <c r="D93" s="10" t="s">
        <v>283</v>
      </c>
      <c r="E93" s="10">
        <v>4</v>
      </c>
      <c r="F93" s="10">
        <v>4</v>
      </c>
      <c r="G93" s="10">
        <v>348</v>
      </c>
      <c r="H93" s="12">
        <v>2388</v>
      </c>
      <c r="I93" s="10"/>
      <c r="J93" s="10"/>
      <c r="K93" s="10"/>
      <c r="L93" s="10"/>
      <c r="M93" s="10" t="str">
        <f>IFERROR(INDEX(Task!$A:$A,MATCH(TRIM(SUBSTITUTE(B93," CFST","")),Task!$G:$G,0)),"")</f>
        <v>1.601</v>
      </c>
      <c r="N93" s="7" t="str">
        <f>IF(M93="","",IFERROR(INDEX(Orca!$B:$B,MATCH(--M93,Orca!$A:$A,0)),""))</f>
        <v>C</v>
      </c>
    </row>
    <row r="94" spans="1:14" ht="15" customHeight="1" x14ac:dyDescent="0.2">
      <c r="A94" s="7">
        <v>89</v>
      </c>
      <c r="B94" s="8" t="s">
        <v>284</v>
      </c>
      <c r="C94" s="7" t="s">
        <v>285</v>
      </c>
      <c r="D94" s="7" t="s">
        <v>286</v>
      </c>
      <c r="E94" s="7">
        <v>2</v>
      </c>
      <c r="F94" s="7">
        <v>2</v>
      </c>
      <c r="G94" s="7">
        <v>355</v>
      </c>
      <c r="H94" s="9">
        <v>2744</v>
      </c>
      <c r="I94" s="7"/>
      <c r="J94" s="7"/>
      <c r="K94" s="7"/>
      <c r="L94" s="7"/>
      <c r="M94" s="7" t="str">
        <f>IFERROR(INDEX(Task!$A:$A,MATCH(TRIM(SUBSTITUTE(B94," CFST","")),Task!$G:$G,0)),"")</f>
        <v>1.546</v>
      </c>
      <c r="N94" s="7" t="str">
        <f>IF(M94="","",IFERROR(INDEX(Orca!$B:$B,MATCH(--M94,Orca!$A:$A,0)),""))</f>
        <v>C</v>
      </c>
    </row>
    <row r="95" spans="1:14" ht="15" customHeight="1" x14ac:dyDescent="0.2">
      <c r="A95" s="10">
        <v>90</v>
      </c>
      <c r="B95" s="11" t="s">
        <v>287</v>
      </c>
      <c r="C95" s="10" t="s">
        <v>288</v>
      </c>
      <c r="D95" s="10" t="s">
        <v>289</v>
      </c>
      <c r="E95" s="10">
        <v>4</v>
      </c>
      <c r="F95" s="10">
        <v>3</v>
      </c>
      <c r="G95" s="10">
        <v>359</v>
      </c>
      <c r="H95" s="12">
        <v>2705</v>
      </c>
      <c r="I95" s="10"/>
      <c r="J95" s="10"/>
      <c r="K95" s="10"/>
      <c r="L95" s="10"/>
      <c r="M95" s="10" t="str">
        <f>IFERROR(INDEX(Task!$A:$A,MATCH(TRIM(SUBSTITUTE(B95," CFST","")),Task!$G:$G,0)),"")</f>
        <v>1.525</v>
      </c>
      <c r="N95" s="7" t="str">
        <f>IF(M95="","",IFERROR(INDEX(Orca!$B:$B,MATCH(--M95,Orca!$A:$A,0)),""))</f>
        <v>C</v>
      </c>
    </row>
    <row r="96" spans="1:14" ht="15" customHeight="1" x14ac:dyDescent="0.2">
      <c r="A96" s="7">
        <v>91</v>
      </c>
      <c r="B96" s="8" t="s">
        <v>290</v>
      </c>
      <c r="C96" s="7" t="s">
        <v>291</v>
      </c>
      <c r="D96" s="7" t="s">
        <v>292</v>
      </c>
      <c r="E96" s="7">
        <v>8</v>
      </c>
      <c r="F96" s="7">
        <v>4</v>
      </c>
      <c r="G96" s="7">
        <v>364</v>
      </c>
      <c r="H96" s="9">
        <v>2511</v>
      </c>
      <c r="I96" s="7"/>
      <c r="J96" s="7"/>
      <c r="K96" s="7"/>
      <c r="L96" s="7"/>
      <c r="M96" s="7" t="str">
        <f>IFERROR(INDEX(Task!$A:$A,MATCH(TRIM(SUBSTITUTE(B96," CFST","")),Task!$G:$G,0)),"")</f>
        <v>1.527</v>
      </c>
      <c r="N96" s="7" t="str">
        <f>IF(M96="","",IFERROR(INDEX(Orca!$B:$B,MATCH(--M96,Orca!$A:$A,0)),""))</f>
        <v>C</v>
      </c>
    </row>
    <row r="97" spans="1:14" ht="15" customHeight="1" x14ac:dyDescent="0.2">
      <c r="A97" s="10">
        <v>92</v>
      </c>
      <c r="B97" s="11" t="s">
        <v>293</v>
      </c>
      <c r="C97" s="10" t="s">
        <v>294</v>
      </c>
      <c r="D97" s="10" t="s">
        <v>295</v>
      </c>
      <c r="E97" s="10">
        <v>4</v>
      </c>
      <c r="F97" s="10">
        <v>1</v>
      </c>
      <c r="G97" s="10">
        <v>369</v>
      </c>
      <c r="H97" s="12">
        <v>2900</v>
      </c>
      <c r="I97" s="10"/>
      <c r="J97" s="10"/>
      <c r="K97" s="10"/>
      <c r="L97" s="10"/>
      <c r="M97" s="10" t="str">
        <f>IFERROR(INDEX(Task!$A:$A,MATCH(TRIM(SUBSTITUTE(B97," CFST","")),Task!$G:$G,0)),"")</f>
        <v>1.658</v>
      </c>
      <c r="N97" s="7" t="str">
        <f>IF(M97="","",IFERROR(INDEX(Orca!$B:$B,MATCH(--M97,Orca!$A:$A,0)),""))</f>
        <v>C</v>
      </c>
    </row>
    <row r="98" spans="1:14" ht="15" customHeight="1" x14ac:dyDescent="0.2">
      <c r="A98" s="7">
        <v>93</v>
      </c>
      <c r="B98" s="8" t="s">
        <v>296</v>
      </c>
      <c r="C98" s="7" t="s">
        <v>297</v>
      </c>
      <c r="D98" s="7" t="s">
        <v>298</v>
      </c>
      <c r="E98" s="7">
        <v>4</v>
      </c>
      <c r="F98" s="7">
        <v>2</v>
      </c>
      <c r="G98" s="7">
        <v>380</v>
      </c>
      <c r="H98" s="9">
        <v>3499</v>
      </c>
      <c r="I98" s="7"/>
      <c r="J98" s="7"/>
      <c r="K98" s="7"/>
      <c r="L98" s="7"/>
      <c r="M98" s="7" t="str">
        <f>IFERROR(INDEX(Task!$A:$A,MATCH(TRIM(SUBSTITUTE(B98," CFST","")),Task!$G:$G,0)),"")</f>
        <v>1.625</v>
      </c>
      <c r="N98" s="7" t="str">
        <f>IF(M98="","",IFERROR(INDEX(Orca!$B:$B,MATCH(--M98,Orca!$A:$A,0)),""))</f>
        <v>O</v>
      </c>
    </row>
    <row r="99" spans="1:14" ht="15" customHeight="1" x14ac:dyDescent="0.2">
      <c r="A99" s="10">
        <v>94</v>
      </c>
      <c r="B99" s="11" t="s">
        <v>299</v>
      </c>
      <c r="C99" s="10" t="s">
        <v>300</v>
      </c>
      <c r="D99" s="10" t="s">
        <v>301</v>
      </c>
      <c r="E99" s="10">
        <v>2</v>
      </c>
      <c r="F99" s="10">
        <v>3</v>
      </c>
      <c r="G99" s="10">
        <v>384</v>
      </c>
      <c r="H99" s="12">
        <v>3167</v>
      </c>
      <c r="I99" s="10"/>
      <c r="J99" s="10"/>
      <c r="K99" s="10"/>
      <c r="L99" s="10"/>
      <c r="M99" s="10" t="str">
        <f>IFERROR(INDEX(Task!$A:$A,MATCH(TRIM(SUBSTITUTE(B99," CFST","")),Task!$G:$G,0)),"")</f>
        <v>1.557</v>
      </c>
      <c r="N99" s="7" t="str">
        <f>IF(M99="","",IFERROR(INDEX(Orca!$B:$B,MATCH(--M99,Orca!$A:$A,0)),""))</f>
        <v>O</v>
      </c>
    </row>
    <row r="100" spans="1:14" ht="15" customHeight="1" x14ac:dyDescent="0.2">
      <c r="A100" s="7">
        <v>95</v>
      </c>
      <c r="B100" s="8" t="s">
        <v>302</v>
      </c>
      <c r="C100" s="7" t="s">
        <v>303</v>
      </c>
      <c r="D100" s="7" t="s">
        <v>304</v>
      </c>
      <c r="E100" s="7">
        <v>4</v>
      </c>
      <c r="F100" s="7">
        <v>4</v>
      </c>
      <c r="G100" s="7">
        <v>394</v>
      </c>
      <c r="H100" s="9">
        <v>1710</v>
      </c>
      <c r="I100" s="7"/>
      <c r="J100" s="7"/>
      <c r="K100" s="7"/>
      <c r="L100" s="7"/>
      <c r="M100" s="7" t="str">
        <f>IFERROR(INDEX(Task!$A:$A,MATCH(TRIM(SUBSTITUTE(B100," CFST","")),Task!$G:$G,0)),"")</f>
        <v>1.537</v>
      </c>
      <c r="N100" s="7" t="str">
        <f>IF(M100="","",IFERROR(INDEX(Orca!$B:$B,MATCH(--M100,Orca!$A:$A,0)),""))</f>
        <v>C</v>
      </c>
    </row>
    <row r="101" spans="1:14" ht="15" customHeight="1" x14ac:dyDescent="0.2">
      <c r="A101" s="10">
        <v>96</v>
      </c>
      <c r="B101" s="11" t="s">
        <v>305</v>
      </c>
      <c r="C101" s="10" t="s">
        <v>306</v>
      </c>
      <c r="D101" s="10" t="s">
        <v>307</v>
      </c>
      <c r="E101" s="10">
        <v>4</v>
      </c>
      <c r="F101" s="10">
        <v>1</v>
      </c>
      <c r="G101" s="10">
        <v>395</v>
      </c>
      <c r="H101" s="12">
        <v>1778</v>
      </c>
      <c r="I101" s="10"/>
      <c r="J101" s="10"/>
      <c r="K101" s="10"/>
      <c r="L101" s="10"/>
      <c r="M101" s="10" t="str">
        <f>IFERROR(INDEX(Task!$A:$A,MATCH(TRIM(SUBSTITUTE(B101," CFST","")),Task!$G:$G,0)),"")</f>
        <v>1.622</v>
      </c>
      <c r="N101" s="7" t="str">
        <f>IF(M101="","",IFERROR(INDEX(Orca!$B:$B,MATCH(--M101,Orca!$A:$A,0)),""))</f>
        <v>C</v>
      </c>
    </row>
    <row r="102" spans="1:14" ht="15" customHeight="1" x14ac:dyDescent="0.2">
      <c r="A102" s="7">
        <v>97</v>
      </c>
      <c r="B102" s="8" t="s">
        <v>308</v>
      </c>
      <c r="C102" s="7" t="s">
        <v>309</v>
      </c>
      <c r="D102" s="7" t="s">
        <v>310</v>
      </c>
      <c r="E102" s="7">
        <v>4</v>
      </c>
      <c r="F102" s="7">
        <v>2</v>
      </c>
      <c r="G102" s="7">
        <v>400</v>
      </c>
      <c r="H102" s="9">
        <v>2008</v>
      </c>
      <c r="I102" s="7"/>
      <c r="J102" s="7"/>
      <c r="K102" s="7"/>
      <c r="L102" s="7"/>
      <c r="M102" s="7" t="str">
        <f>IFERROR(INDEX(Task!$A:$A,MATCH(TRIM(SUBSTITUTE(B102," CFST","")),Task!$G:$G,0)),"")</f>
        <v>1.567</v>
      </c>
      <c r="N102" s="7" t="str">
        <f>IF(M102="","",IFERROR(INDEX(Orca!$B:$B,MATCH(--M102,Orca!$A:$A,0)),""))</f>
        <v>C</v>
      </c>
    </row>
    <row r="103" spans="1:14" ht="15" customHeight="1" x14ac:dyDescent="0.2">
      <c r="A103" s="10">
        <v>98</v>
      </c>
      <c r="B103" s="11" t="s">
        <v>311</v>
      </c>
      <c r="C103" s="10" t="s">
        <v>312</v>
      </c>
      <c r="D103" s="10" t="s">
        <v>313</v>
      </c>
      <c r="E103" s="10">
        <v>4</v>
      </c>
      <c r="F103" s="10">
        <v>3</v>
      </c>
      <c r="G103" s="10">
        <v>405</v>
      </c>
      <c r="H103" s="12">
        <v>2312</v>
      </c>
      <c r="I103" s="10"/>
      <c r="J103" s="10"/>
      <c r="K103" s="10"/>
      <c r="L103" s="10"/>
      <c r="M103" s="10" t="str">
        <f>IFERROR(INDEX(Task!$A:$A,MATCH(TRIM(SUBSTITUTE(B103," CFST","")),Task!$G:$G,0)),"")</f>
        <v>1.607</v>
      </c>
      <c r="N103" s="7" t="str">
        <f>IF(M103="","",IFERROR(INDEX(Orca!$B:$B,MATCH(--M103,Orca!$A:$A,0)),""))</f>
        <v>C</v>
      </c>
    </row>
    <row r="104" spans="1:14" ht="15" customHeight="1" x14ac:dyDescent="0.2">
      <c r="A104" s="7">
        <v>99</v>
      </c>
      <c r="B104" s="8" t="s">
        <v>314</v>
      </c>
      <c r="C104" s="7" t="s">
        <v>315</v>
      </c>
      <c r="D104" s="7" t="s">
        <v>316</v>
      </c>
      <c r="E104" s="7">
        <v>2</v>
      </c>
      <c r="F104" s="7">
        <v>2</v>
      </c>
      <c r="G104" s="7">
        <v>407</v>
      </c>
      <c r="H104" s="9">
        <v>2441</v>
      </c>
      <c r="I104" s="7"/>
      <c r="J104" s="7"/>
      <c r="K104" s="7"/>
      <c r="L104" s="7"/>
      <c r="M104" s="7" t="str">
        <f>IFERROR(INDEX(Task!$A:$A,MATCH(TRIM(SUBSTITUTE(B104," CFST","")),Task!$G:$G,0)),"")</f>
        <v>1.519</v>
      </c>
      <c r="N104" s="7" t="str">
        <f>IF(M104="","",IFERROR(INDEX(Orca!$B:$B,MATCH(--M104,Orca!$A:$A,0)),""))</f>
        <v>C</v>
      </c>
    </row>
    <row r="105" spans="1:14" ht="15" customHeight="1" x14ac:dyDescent="0.2">
      <c r="A105" s="10">
        <v>100</v>
      </c>
      <c r="B105" s="11" t="s">
        <v>317</v>
      </c>
      <c r="C105" s="10" t="s">
        <v>318</v>
      </c>
      <c r="D105" s="10" t="s">
        <v>319</v>
      </c>
      <c r="E105" s="10">
        <v>2</v>
      </c>
      <c r="F105" s="10">
        <v>3</v>
      </c>
      <c r="G105" s="10">
        <v>410</v>
      </c>
      <c r="H105" s="12">
        <v>2678</v>
      </c>
      <c r="I105" s="10"/>
      <c r="J105" s="10"/>
      <c r="K105" s="10"/>
      <c r="L105" s="10"/>
      <c r="M105" s="10" t="str">
        <f>IFERROR(INDEX(Task!$A:$A,MATCH(TRIM(SUBSTITUTE(B105," CFST","")),Task!$G:$G,0)),"")</f>
        <v>1.523</v>
      </c>
      <c r="N105" s="7" t="str">
        <f>IF(M105="","",IFERROR(INDEX(Orca!$B:$B,MATCH(--M105,Orca!$A:$A,0)),""))</f>
        <v>C</v>
      </c>
    </row>
    <row r="106" spans="1:14" ht="15" customHeight="1" x14ac:dyDescent="0.2">
      <c r="A106" s="7">
        <v>101</v>
      </c>
      <c r="B106" s="8" t="s">
        <v>320</v>
      </c>
      <c r="C106" s="7" t="s">
        <v>321</v>
      </c>
      <c r="D106" s="7" t="s">
        <v>322</v>
      </c>
      <c r="E106" s="7">
        <v>4</v>
      </c>
      <c r="F106" s="7">
        <v>4</v>
      </c>
      <c r="G106" s="7">
        <v>414</v>
      </c>
      <c r="H106" s="9">
        <v>2035</v>
      </c>
      <c r="I106" s="7"/>
      <c r="J106" s="7"/>
      <c r="K106" s="7"/>
      <c r="L106" s="7"/>
      <c r="M106" s="7" t="str">
        <f>IFERROR(INDEX(Task!$A:$A,MATCH(TRIM(SUBSTITUTE(B106," CFST","")),Task!$G:$G,0)),"")</f>
        <v>1.602</v>
      </c>
      <c r="N106" s="7" t="str">
        <f>IF(M106="","",IFERROR(INDEX(Orca!$B:$B,MATCH(--M106,Orca!$A:$A,0)),""))</f>
        <v>C</v>
      </c>
    </row>
    <row r="107" spans="1:14" ht="15" customHeight="1" x14ac:dyDescent="0.2">
      <c r="A107" s="10">
        <v>102</v>
      </c>
      <c r="B107" s="11" t="s">
        <v>323</v>
      </c>
      <c r="C107" s="10" t="s">
        <v>324</v>
      </c>
      <c r="D107" s="10" t="s">
        <v>325</v>
      </c>
      <c r="E107" s="10">
        <v>2</v>
      </c>
      <c r="F107" s="10">
        <v>2</v>
      </c>
      <c r="G107" s="10">
        <v>415</v>
      </c>
      <c r="H107" s="12">
        <v>1787</v>
      </c>
      <c r="I107" s="10"/>
      <c r="J107" s="10"/>
      <c r="K107" s="10"/>
      <c r="L107" s="10"/>
      <c r="M107" s="10" t="str">
        <f>IFERROR(INDEX(Task!$A:$A,MATCH(TRIM(SUBSTITUTE(B107," CFST","")),Task!$G:$G,0)),"")</f>
        <v>1.661</v>
      </c>
      <c r="N107" s="7" t="str">
        <f>IF(M107="","",IFERROR(INDEX(Orca!$B:$B,MATCH(--M107,Orca!$A:$A,0)),""))</f>
        <v>C</v>
      </c>
    </row>
    <row r="108" spans="1:14" ht="15" customHeight="1" x14ac:dyDescent="0.2">
      <c r="A108" s="7">
        <v>103</v>
      </c>
      <c r="B108" s="8" t="s">
        <v>326</v>
      </c>
      <c r="C108" s="7" t="s">
        <v>327</v>
      </c>
      <c r="D108" s="7" t="s">
        <v>328</v>
      </c>
      <c r="E108" s="7">
        <v>2</v>
      </c>
      <c r="F108" s="7">
        <v>3</v>
      </c>
      <c r="G108" s="7">
        <v>418</v>
      </c>
      <c r="H108" s="9">
        <v>1720</v>
      </c>
      <c r="I108" s="7"/>
      <c r="J108" s="7"/>
      <c r="K108" s="7"/>
      <c r="L108" s="7"/>
      <c r="M108" s="7" t="str">
        <f>IFERROR(INDEX(Task!$A:$A,MATCH(TRIM(SUBSTITUTE(B108," CFST","")),Task!$G:$G,0)),"")</f>
        <v>1.617</v>
      </c>
      <c r="N108" s="7" t="str">
        <f>IF(M108="","",IFERROR(INDEX(Orca!$B:$B,MATCH(--M108,Orca!$A:$A,0)),""))</f>
        <v>C</v>
      </c>
    </row>
    <row r="109" spans="1:14" ht="15" customHeight="1" x14ac:dyDescent="0.2">
      <c r="A109" s="10">
        <v>104</v>
      </c>
      <c r="B109" s="11" t="s">
        <v>329</v>
      </c>
      <c r="C109" s="10" t="s">
        <v>330</v>
      </c>
      <c r="D109" s="10" t="s">
        <v>331</v>
      </c>
      <c r="E109" s="10">
        <v>2</v>
      </c>
      <c r="F109" s="10">
        <v>2</v>
      </c>
      <c r="G109" s="10">
        <v>419</v>
      </c>
      <c r="H109" s="12">
        <v>1453</v>
      </c>
      <c r="I109" s="10"/>
      <c r="J109" s="10"/>
      <c r="K109" s="10"/>
      <c r="L109" s="10"/>
      <c r="M109" s="10" t="str">
        <f>IFERROR(INDEX(Task!$A:$A,MATCH(TRIM(SUBSTITUTE(B109," CFST","")),Task!$G:$G,0)),"")</f>
        <v>1.536</v>
      </c>
      <c r="N109" s="7" t="str">
        <f>IF(M109="","",IFERROR(INDEX(Orca!$B:$B,MATCH(--M109,Orca!$A:$A,0)),""))</f>
        <v>C</v>
      </c>
    </row>
    <row r="110" spans="1:14" ht="15" customHeight="1" x14ac:dyDescent="0.2">
      <c r="A110" s="7">
        <v>105</v>
      </c>
      <c r="B110" s="8" t="s">
        <v>332</v>
      </c>
      <c r="C110" s="7" t="s">
        <v>333</v>
      </c>
      <c r="D110" s="7" t="s">
        <v>334</v>
      </c>
      <c r="E110" s="7">
        <v>4</v>
      </c>
      <c r="F110" s="7">
        <v>3</v>
      </c>
      <c r="G110" s="7">
        <v>429</v>
      </c>
      <c r="H110" s="9">
        <v>1215</v>
      </c>
      <c r="I110" s="7"/>
      <c r="J110" s="7"/>
      <c r="K110" s="7"/>
      <c r="L110" s="7"/>
      <c r="M110" s="7" t="str">
        <f>IFERROR(INDEX(Task!$A:$A,MATCH(TRIM(SUBSTITUTE(B110," CFST","")),Task!$G:$G,0)),"")</f>
        <v>1.620</v>
      </c>
      <c r="N110" s="7" t="str">
        <f>IF(M110="","",IFERROR(INDEX(Orca!$B:$B,MATCH(--M110,Orca!$A:$A,0)),""))</f>
        <v>O</v>
      </c>
    </row>
    <row r="111" spans="1:14" ht="15" customHeight="1" x14ac:dyDescent="0.2">
      <c r="A111" s="10">
        <v>106</v>
      </c>
      <c r="B111" s="11" t="s">
        <v>335</v>
      </c>
      <c r="C111" s="10" t="s">
        <v>336</v>
      </c>
      <c r="D111" s="10" t="s">
        <v>337</v>
      </c>
      <c r="E111" s="10">
        <v>4</v>
      </c>
      <c r="F111" s="10">
        <v>4</v>
      </c>
      <c r="G111" s="10">
        <v>434</v>
      </c>
      <c r="H111" s="12">
        <v>910</v>
      </c>
      <c r="I111" s="10"/>
      <c r="J111" s="10"/>
      <c r="K111" s="10"/>
      <c r="L111" s="10"/>
      <c r="M111" s="10" t="str">
        <f>IFERROR(INDEX(Task!$A:$A,MATCH(TRIM(SUBSTITUTE(B111," CFST","")),Task!$G:$G,0)),"")</f>
        <v>1.637</v>
      </c>
      <c r="N111" s="7" t="str">
        <f>IF(M111="","",IFERROR(INDEX(Orca!$B:$B,MATCH(--M111,Orca!$A:$A,0)),""))</f>
        <v>O</v>
      </c>
    </row>
    <row r="112" spans="1:14" ht="15" customHeight="1" x14ac:dyDescent="0.2">
      <c r="A112" s="7">
        <v>107</v>
      </c>
      <c r="B112" s="8" t="s">
        <v>338</v>
      </c>
      <c r="C112" s="7" t="s">
        <v>339</v>
      </c>
      <c r="D112" s="7" t="s">
        <v>340</v>
      </c>
      <c r="E112" s="7">
        <v>4</v>
      </c>
      <c r="F112" s="7">
        <v>1</v>
      </c>
      <c r="G112" s="7">
        <v>435</v>
      </c>
      <c r="H112" s="9">
        <v>619</v>
      </c>
      <c r="I112" s="7"/>
      <c r="J112" s="7"/>
      <c r="K112" s="7"/>
      <c r="L112" s="7"/>
      <c r="M112" s="7" t="str">
        <f>IFERROR(INDEX(Task!$A:$A,MATCH(TRIM(SUBSTITUTE(B112," CFST","")),Task!$G:$G,0)),"")</f>
        <v>1.629</v>
      </c>
      <c r="N112" s="7" t="str">
        <f>IF(M112="","",IFERROR(INDEX(Orca!$B:$B,MATCH(--M112,Orca!$A:$A,0)),""))</f>
        <v>C</v>
      </c>
    </row>
    <row r="113" spans="1:14" ht="15" customHeight="1" x14ac:dyDescent="0.2">
      <c r="A113" s="10">
        <v>108</v>
      </c>
      <c r="B113" s="11" t="s">
        <v>341</v>
      </c>
      <c r="C113" s="10" t="s">
        <v>342</v>
      </c>
      <c r="D113" s="10" t="s">
        <v>343</v>
      </c>
      <c r="E113" s="10">
        <v>4</v>
      </c>
      <c r="F113" s="10">
        <v>2</v>
      </c>
      <c r="G113" s="10">
        <v>440</v>
      </c>
      <c r="H113" s="12">
        <v>937</v>
      </c>
      <c r="I113" s="10"/>
      <c r="J113" s="10"/>
      <c r="K113" s="10"/>
      <c r="L113" s="10"/>
      <c r="M113" s="10" t="str">
        <f>IFERROR(INDEX(Task!$A:$A,MATCH(TRIM(SUBSTITUTE(B113," CFST","")),Task!$G:$G,0)),"")</f>
        <v>1.498</v>
      </c>
      <c r="N113" s="7" t="str">
        <f>IF(M113="","",IFERROR(INDEX(Orca!$B:$B,MATCH(--M113,Orca!$A:$A,0)),""))</f>
        <v>C</v>
      </c>
    </row>
    <row r="114" spans="1:14" ht="15" customHeight="1" x14ac:dyDescent="0.2">
      <c r="A114" s="7">
        <v>109</v>
      </c>
      <c r="B114" s="8" t="s">
        <v>344</v>
      </c>
      <c r="C114" s="7" t="s">
        <v>345</v>
      </c>
      <c r="D114" s="7" t="s">
        <v>346</v>
      </c>
      <c r="E114" s="7">
        <v>4</v>
      </c>
      <c r="F114" s="7">
        <v>3</v>
      </c>
      <c r="G114" s="7">
        <v>445</v>
      </c>
      <c r="H114" s="9">
        <v>1188</v>
      </c>
      <c r="I114" s="7"/>
      <c r="J114" s="7"/>
      <c r="K114" s="7"/>
      <c r="L114" s="7"/>
      <c r="M114" s="7" t="str">
        <f>IFERROR(INDEX(Task!$A:$A,MATCH(TRIM(SUBSTITUTE(B114," CFST","")),Task!$G:$G,0)),"")</f>
        <v>1.618</v>
      </c>
      <c r="N114" s="7" t="str">
        <f>IF(M114="","",IFERROR(INDEX(Orca!$B:$B,MATCH(--M114,Orca!$A:$A,0)),""))</f>
        <v>C</v>
      </c>
    </row>
    <row r="115" spans="1:14" ht="15" customHeight="1" x14ac:dyDescent="0.2">
      <c r="A115" s="10">
        <v>110</v>
      </c>
      <c r="B115" s="11" t="s">
        <v>347</v>
      </c>
      <c r="C115" s="10" t="s">
        <v>348</v>
      </c>
      <c r="D115" s="10" t="s">
        <v>349</v>
      </c>
      <c r="E115" s="10">
        <v>2</v>
      </c>
      <c r="F115" s="10">
        <v>2</v>
      </c>
      <c r="G115" s="10">
        <v>447</v>
      </c>
      <c r="H115" s="12">
        <v>1140</v>
      </c>
      <c r="I115" s="10"/>
      <c r="J115" s="10"/>
      <c r="K115" s="10"/>
      <c r="L115" s="10"/>
      <c r="M115" s="10" t="str">
        <f>IFERROR(INDEX(Task!$A:$A,MATCH(TRIM(SUBSTITUTE(B115," CFST","")),Task!$G:$G,0)),"")</f>
        <v>1.648</v>
      </c>
      <c r="N115" s="7" t="str">
        <f>IF(M115="","",IFERROR(INDEX(Orca!$B:$B,MATCH(--M115,Orca!$A:$A,0)),""))</f>
        <v>C</v>
      </c>
    </row>
    <row r="116" spans="1:14" ht="15" customHeight="1" x14ac:dyDescent="0.2">
      <c r="A116" s="7">
        <v>111</v>
      </c>
      <c r="B116" s="8" t="s">
        <v>350</v>
      </c>
      <c r="C116" s="7" t="s">
        <v>351</v>
      </c>
      <c r="D116" s="7" t="s">
        <v>352</v>
      </c>
      <c r="E116" s="7">
        <v>4</v>
      </c>
      <c r="F116" s="7">
        <v>3</v>
      </c>
      <c r="G116" s="7">
        <v>451</v>
      </c>
      <c r="H116" s="9">
        <v>1343</v>
      </c>
      <c r="I116" s="7"/>
      <c r="J116" s="7"/>
      <c r="K116" s="7"/>
      <c r="L116" s="7"/>
      <c r="M116" s="7" t="str">
        <f>IFERROR(INDEX(Task!$A:$A,MATCH(TRIM(SUBSTITUTE(B116," CFST","")),Task!$G:$G,0)),"")</f>
        <v>1.632</v>
      </c>
      <c r="N116" s="7" t="str">
        <f>IF(M116="","",IFERROR(INDEX(Orca!$B:$B,MATCH(--M116,Orca!$A:$A,0)),""))</f>
        <v>C</v>
      </c>
    </row>
    <row r="117" spans="1:14" ht="15" customHeight="1" x14ac:dyDescent="0.2">
      <c r="A117" s="10">
        <v>112</v>
      </c>
      <c r="B117" s="11" t="s">
        <v>353</v>
      </c>
      <c r="C117" s="10" t="s">
        <v>354</v>
      </c>
      <c r="D117" s="10" t="s">
        <v>355</v>
      </c>
      <c r="E117" s="10">
        <v>2</v>
      </c>
      <c r="F117" s="10">
        <v>2</v>
      </c>
      <c r="G117" s="10">
        <v>453</v>
      </c>
      <c r="H117" s="12">
        <v>1580</v>
      </c>
      <c r="I117" s="10"/>
      <c r="J117" s="10"/>
      <c r="K117" s="10"/>
      <c r="L117" s="10"/>
      <c r="M117" s="10" t="str">
        <f>IFERROR(INDEX(Task!$A:$A,MATCH(TRIM(SUBSTITUTE(B117," CFST","")),Task!$G:$G,0)),"")</f>
        <v>1.604</v>
      </c>
      <c r="N117" s="7" t="str">
        <f>IF(M117="","",IFERROR(INDEX(Orca!$B:$B,MATCH(--M117,Orca!$A:$A,0)),""))</f>
        <v>C</v>
      </c>
    </row>
    <row r="118" spans="1:14" ht="15" customHeight="1" x14ac:dyDescent="0.2">
      <c r="A118" s="7">
        <v>113</v>
      </c>
      <c r="B118" s="8" t="s">
        <v>356</v>
      </c>
      <c r="C118" s="7" t="s">
        <v>357</v>
      </c>
      <c r="D118" s="7" t="s">
        <v>358</v>
      </c>
      <c r="E118" s="7">
        <v>2</v>
      </c>
      <c r="F118" s="7">
        <v>3</v>
      </c>
      <c r="G118" s="7">
        <v>456</v>
      </c>
      <c r="H118" s="9">
        <v>1282</v>
      </c>
      <c r="I118" s="7"/>
      <c r="J118" s="7"/>
      <c r="K118" s="7"/>
      <c r="L118" s="7"/>
      <c r="M118" s="7" t="str">
        <f>IFERROR(INDEX(Task!$A:$A,MATCH(TRIM(SUBSTITUTE(B118," CFST","")),Task!$G:$G,0)),"")</f>
        <v>1.552</v>
      </c>
      <c r="N118" s="7" t="str">
        <f>IF(M118="","",IFERROR(INDEX(Orca!$B:$B,MATCH(--M118,Orca!$A:$A,0)),""))</f>
        <v>C</v>
      </c>
    </row>
    <row r="119" spans="1:14" ht="15" customHeight="1" x14ac:dyDescent="0.2">
      <c r="A119" s="10">
        <v>114</v>
      </c>
      <c r="B119" s="11" t="s">
        <v>359</v>
      </c>
      <c r="C119" s="10" t="s">
        <v>360</v>
      </c>
      <c r="D119" s="10" t="s">
        <v>361</v>
      </c>
      <c r="E119" s="10">
        <v>4</v>
      </c>
      <c r="F119" s="10">
        <v>4</v>
      </c>
      <c r="G119" s="10">
        <v>460</v>
      </c>
      <c r="H119" s="12">
        <v>1301</v>
      </c>
      <c r="I119" s="10"/>
      <c r="J119" s="10"/>
      <c r="K119" s="10"/>
      <c r="L119" s="10"/>
      <c r="M119" s="10" t="str">
        <f>IFERROR(INDEX(Task!$A:$A,MATCH(TRIM(SUBSTITUTE(B119," CFST","")),Task!$G:$G,0)),"")</f>
        <v>1.548</v>
      </c>
      <c r="N119" s="7" t="str">
        <f>IF(M119="","",IFERROR(INDEX(Orca!$B:$B,MATCH(--M119,Orca!$A:$A,0)),""))</f>
        <v>C</v>
      </c>
    </row>
    <row r="120" spans="1:14" ht="15" customHeight="1" x14ac:dyDescent="0.2">
      <c r="A120" s="7">
        <v>115</v>
      </c>
      <c r="B120" s="8" t="s">
        <v>362</v>
      </c>
      <c r="C120" s="7" t="s">
        <v>363</v>
      </c>
      <c r="D120" s="7" t="s">
        <v>364</v>
      </c>
      <c r="E120" s="7">
        <v>2</v>
      </c>
      <c r="F120" s="7">
        <v>2</v>
      </c>
      <c r="G120" s="7">
        <v>461</v>
      </c>
      <c r="H120" s="9">
        <v>1048</v>
      </c>
      <c r="I120" s="7"/>
      <c r="J120" s="7"/>
      <c r="K120" s="7"/>
      <c r="L120" s="7"/>
      <c r="M120" s="7" t="str">
        <f>IFERROR(INDEX(Task!$A:$A,MATCH(TRIM(SUBSTITUTE(B120," CFST","")),Task!$G:$G,0)),"")</f>
        <v>1.631</v>
      </c>
      <c r="N120" s="7" t="str">
        <f>IF(M120="","",IFERROR(INDEX(Orca!$B:$B,MATCH(--M120,Orca!$A:$A,0)),""))</f>
        <v>C</v>
      </c>
    </row>
    <row r="121" spans="1:14" ht="15" customHeight="1" x14ac:dyDescent="0.2">
      <c r="A121" s="10">
        <v>116</v>
      </c>
      <c r="B121" s="11" t="s">
        <v>365</v>
      </c>
      <c r="C121" s="10" t="s">
        <v>366</v>
      </c>
      <c r="D121" s="10" t="s">
        <v>367</v>
      </c>
      <c r="E121" s="10">
        <v>2</v>
      </c>
      <c r="F121" s="10">
        <v>3</v>
      </c>
      <c r="G121" s="10">
        <v>464</v>
      </c>
      <c r="H121" s="12">
        <v>812</v>
      </c>
      <c r="I121" s="10"/>
      <c r="J121" s="10"/>
      <c r="K121" s="10"/>
      <c r="L121" s="10"/>
      <c r="M121" s="10" t="str">
        <f>IFERROR(INDEX(Task!$A:$A,MATCH(TRIM(SUBSTITUTE(B121," CFST","")),Task!$G:$G,0)),"")</f>
        <v>1.660</v>
      </c>
      <c r="N121" s="7" t="str">
        <f>IF(M121="","",IFERROR(INDEX(Orca!$B:$B,MATCH(--M121,Orca!$A:$A,0)),""))</f>
        <v>C</v>
      </c>
    </row>
    <row r="122" spans="1:14" ht="15" customHeight="1" x14ac:dyDescent="0.2">
      <c r="A122" s="7">
        <v>117</v>
      </c>
      <c r="B122" s="8" t="s">
        <v>368</v>
      </c>
      <c r="C122" s="7" t="s">
        <v>369</v>
      </c>
      <c r="D122" s="7" t="s">
        <v>370</v>
      </c>
      <c r="E122" s="7">
        <v>2</v>
      </c>
      <c r="F122" s="7">
        <v>2</v>
      </c>
      <c r="G122" s="7">
        <v>465</v>
      </c>
      <c r="H122" s="9">
        <v>721</v>
      </c>
      <c r="I122" s="7"/>
      <c r="J122" s="7"/>
      <c r="K122" s="7"/>
      <c r="L122" s="7"/>
      <c r="M122" s="7" t="str">
        <f>IFERROR(INDEX(Task!$A:$A,MATCH(TRIM(SUBSTITUTE(B122," CFST","")),Task!$G:$G,0)),"")</f>
        <v>1.646</v>
      </c>
      <c r="N122" s="7" t="str">
        <f>IF(M122="","",IFERROR(INDEX(Orca!$B:$B,MATCH(--M122,Orca!$A:$A,0)),""))</f>
        <v>C</v>
      </c>
    </row>
    <row r="123" spans="1:14" ht="15" customHeight="1" x14ac:dyDescent="0.2">
      <c r="A123" s="10">
        <v>118</v>
      </c>
      <c r="B123" s="11" t="s">
        <v>371</v>
      </c>
      <c r="C123" s="10" t="s">
        <v>372</v>
      </c>
      <c r="D123" s="10" t="s">
        <v>373</v>
      </c>
      <c r="E123" s="10">
        <v>2</v>
      </c>
      <c r="F123" s="10">
        <v>3</v>
      </c>
      <c r="G123" s="10">
        <v>468</v>
      </c>
      <c r="H123" s="12">
        <v>453</v>
      </c>
      <c r="I123" s="10"/>
      <c r="J123" s="10"/>
      <c r="K123" s="10"/>
      <c r="L123" s="10"/>
      <c r="M123" s="10" t="str">
        <f>IFERROR(INDEX(Task!$A:$A,MATCH(TRIM(SUBSTITUTE(B123," CFST","")),Task!$G:$G,0)),"")</f>
        <v>1.665</v>
      </c>
      <c r="N123" s="7" t="str">
        <f>IF(M123="","",IFERROR(INDEX(Orca!$B:$B,MATCH(--M123,Orca!$A:$A,0)),""))</f>
        <v>C</v>
      </c>
    </row>
    <row r="124" spans="1:14" ht="15" customHeight="1" x14ac:dyDescent="0.2">
      <c r="A124" s="7">
        <v>119</v>
      </c>
      <c r="B124" s="8" t="s">
        <v>374</v>
      </c>
      <c r="C124" s="7" t="s">
        <v>375</v>
      </c>
      <c r="D124" s="7" t="s">
        <v>376</v>
      </c>
      <c r="E124" s="7">
        <v>4</v>
      </c>
      <c r="F124" s="7">
        <v>4</v>
      </c>
      <c r="G124" s="7">
        <v>480</v>
      </c>
      <c r="H124" s="9">
        <v>6272</v>
      </c>
      <c r="I124" s="7"/>
      <c r="J124" s="7"/>
      <c r="K124" s="7"/>
      <c r="L124" s="7"/>
      <c r="M124" s="7" t="str">
        <f>IFERROR(INDEX(Task!$A:$A,MATCH(TRIM(SUBSTITUTE(B124," CFST","")),Task!$G:$G,0)),"")</f>
        <v>1.650</v>
      </c>
      <c r="N124" s="7" t="str">
        <f>IF(M124="","",IFERROR(INDEX(Orca!$B:$B,MATCH(--M124,Orca!$A:$A,0)),""))</f>
        <v>C</v>
      </c>
    </row>
    <row r="125" spans="1:14" ht="15" customHeight="1" x14ac:dyDescent="0.2">
      <c r="A125" s="10">
        <v>120</v>
      </c>
      <c r="B125" s="11" t="s">
        <v>377</v>
      </c>
      <c r="C125" s="10" t="s">
        <v>378</v>
      </c>
      <c r="D125" s="10" t="s">
        <v>379</v>
      </c>
      <c r="E125" s="10">
        <v>2</v>
      </c>
      <c r="F125" s="10">
        <v>2</v>
      </c>
      <c r="G125" s="10">
        <v>491</v>
      </c>
      <c r="H125" s="12">
        <v>5908</v>
      </c>
      <c r="I125" s="10"/>
      <c r="J125" s="10"/>
      <c r="K125" s="10"/>
      <c r="L125" s="10"/>
      <c r="M125" s="10" t="str">
        <f>IFERROR(INDEX(Task!$A:$A,MATCH(TRIM(SUBSTITUTE(B125," CFST","")),Task!$G:$G,0)),"")</f>
        <v>1.590</v>
      </c>
      <c r="N125" s="7" t="str">
        <f>IF(M125="","",IFERROR(INDEX(Orca!$B:$B,MATCH(--M125,Orca!$A:$A,0)),""))</f>
        <v>C</v>
      </c>
    </row>
    <row r="126" spans="1:14" ht="15" customHeight="1" x14ac:dyDescent="0.2">
      <c r="A126" s="7">
        <v>121</v>
      </c>
      <c r="B126" s="8" t="s">
        <v>380</v>
      </c>
      <c r="C126" s="7" t="s">
        <v>381</v>
      </c>
      <c r="D126" s="7" t="s">
        <v>382</v>
      </c>
      <c r="E126" s="7">
        <v>8</v>
      </c>
      <c r="F126" s="7">
        <v>3</v>
      </c>
      <c r="G126" s="7">
        <v>495</v>
      </c>
      <c r="H126" s="9">
        <v>6363</v>
      </c>
      <c r="I126" s="7"/>
      <c r="J126" s="7"/>
      <c r="K126" s="7"/>
      <c r="L126" s="7"/>
      <c r="M126" s="7" t="str">
        <f>IFERROR(INDEX(Task!$A:$A,MATCH(TRIM(SUBSTITUTE(B126," CFST","")),Task!$G:$G,0)),"")</f>
        <v>1.605</v>
      </c>
      <c r="N126" s="7" t="str">
        <f>IF(M126="","",IFERROR(INDEX(Orca!$B:$B,MATCH(--M126,Orca!$A:$A,0)),""))</f>
        <v>C</v>
      </c>
    </row>
    <row r="127" spans="1:14" ht="15" customHeight="1" x14ac:dyDescent="0.2">
      <c r="A127" s="10">
        <v>122</v>
      </c>
      <c r="B127" s="11" t="s">
        <v>383</v>
      </c>
      <c r="C127" s="10" t="s">
        <v>384</v>
      </c>
      <c r="D127" s="10" t="s">
        <v>385</v>
      </c>
      <c r="E127" s="10">
        <v>4</v>
      </c>
      <c r="F127" s="10">
        <v>4</v>
      </c>
      <c r="G127" s="10">
        <v>504</v>
      </c>
      <c r="H127" s="12">
        <v>6145</v>
      </c>
      <c r="I127" s="10"/>
      <c r="J127" s="10"/>
      <c r="K127" s="10"/>
      <c r="L127" s="10"/>
      <c r="M127" s="10" t="str">
        <f>IFERROR(INDEX(Task!$A:$A,MATCH(TRIM(SUBSTITUTE(B127," CFST","")),Task!$G:$G,0)),"")</f>
        <v>1.522</v>
      </c>
      <c r="N127" s="7" t="str">
        <f>IF(M127="","",IFERROR(INDEX(Orca!$B:$B,MATCH(--M127,Orca!$A:$A,0)),""))</f>
        <v>C</v>
      </c>
    </row>
    <row r="128" spans="1:14" ht="15" customHeight="1" x14ac:dyDescent="0.2">
      <c r="A128" s="7">
        <v>123</v>
      </c>
      <c r="B128" s="8" t="s">
        <v>386</v>
      </c>
      <c r="C128" s="7" t="s">
        <v>387</v>
      </c>
      <c r="D128" s="7" t="s">
        <v>388</v>
      </c>
      <c r="E128" s="7">
        <v>4</v>
      </c>
      <c r="F128" s="7">
        <v>1</v>
      </c>
      <c r="G128" s="7">
        <v>513</v>
      </c>
      <c r="H128" s="9">
        <v>5680</v>
      </c>
      <c r="I128" s="7"/>
      <c r="J128" s="7"/>
      <c r="K128" s="7"/>
      <c r="L128" s="7"/>
      <c r="M128" s="7" t="str">
        <f>IFERROR(INDEX(Task!$A:$A,MATCH(TRIM(SUBSTITUTE(B128," CFST","")),Task!$G:$G,0)),"")</f>
        <v>1.598</v>
      </c>
      <c r="N128" s="7" t="str">
        <f>IF(M128="","",IFERROR(INDEX(Orca!$B:$B,MATCH(--M128,Orca!$A:$A,0)),""))</f>
        <v>C</v>
      </c>
    </row>
    <row r="129" spans="1:14" ht="15" customHeight="1" x14ac:dyDescent="0.2">
      <c r="A129" s="10">
        <v>124</v>
      </c>
      <c r="B129" s="11" t="s">
        <v>389</v>
      </c>
      <c r="C129" s="10" t="s">
        <v>390</v>
      </c>
      <c r="D129" s="10" t="s">
        <v>391</v>
      </c>
      <c r="E129" s="10">
        <v>2</v>
      </c>
      <c r="F129" s="10">
        <v>2</v>
      </c>
      <c r="G129" s="10">
        <v>527</v>
      </c>
      <c r="H129" s="12">
        <v>5756</v>
      </c>
      <c r="I129" s="10"/>
      <c r="J129" s="10"/>
      <c r="K129" s="10"/>
      <c r="L129" s="10"/>
      <c r="M129" s="10" t="str">
        <f>IFERROR(INDEX(Task!$A:$A,MATCH(TRIM(SUBSTITUTE(B129," CFST","")),Task!$G:$G,0)),"")</f>
        <v>1.524</v>
      </c>
      <c r="N129" s="7" t="str">
        <f>IF(M129="","",IFERROR(INDEX(Orca!$B:$B,MATCH(--M129,Orca!$A:$A,0)),""))</f>
        <v>C</v>
      </c>
    </row>
    <row r="130" spans="1:14" ht="15" customHeight="1" x14ac:dyDescent="0.2">
      <c r="A130" s="7">
        <v>125</v>
      </c>
      <c r="B130" s="8" t="s">
        <v>392</v>
      </c>
      <c r="C130" s="7" t="s">
        <v>393</v>
      </c>
      <c r="D130" s="7" t="s">
        <v>394</v>
      </c>
      <c r="E130" s="7">
        <v>8</v>
      </c>
      <c r="F130" s="7">
        <v>3</v>
      </c>
      <c r="G130" s="7">
        <v>531</v>
      </c>
      <c r="H130" s="9">
        <v>5796</v>
      </c>
      <c r="I130" s="7"/>
      <c r="J130" s="7"/>
      <c r="K130" s="7"/>
      <c r="L130" s="7"/>
      <c r="M130" s="7" t="str">
        <f>IFERROR(INDEX(Task!$A:$A,MATCH(TRIM(SUBSTITUTE(B130," CFST","")),Task!$G:$G,0)),"")</f>
        <v>1.563</v>
      </c>
      <c r="N130" s="7" t="str">
        <f>IF(M130="","",IFERROR(INDEX(Orca!$B:$B,MATCH(--M130,Orca!$A:$A,0)),""))</f>
        <v>O</v>
      </c>
    </row>
    <row r="131" spans="1:14" ht="15" customHeight="1" x14ac:dyDescent="0.2">
      <c r="A131" s="10">
        <v>126</v>
      </c>
      <c r="B131" s="11" t="s">
        <v>395</v>
      </c>
      <c r="C131" s="10" t="s">
        <v>396</v>
      </c>
      <c r="D131" s="10" t="s">
        <v>397</v>
      </c>
      <c r="E131" s="10">
        <v>4</v>
      </c>
      <c r="F131" s="10">
        <v>4</v>
      </c>
      <c r="G131" s="10">
        <v>540</v>
      </c>
      <c r="H131" s="12">
        <v>6131</v>
      </c>
      <c r="I131" s="10"/>
      <c r="J131" s="10"/>
      <c r="K131" s="10"/>
      <c r="L131" s="10"/>
      <c r="M131" s="10" t="str">
        <f>IFERROR(INDEX(Task!$A:$A,MATCH(TRIM(SUBSTITUTE(B131," CFST","")),Task!$G:$G,0)),"")</f>
        <v>1.506</v>
      </c>
      <c r="N131" s="7" t="str">
        <f>IF(M131="","",IFERROR(INDEX(Orca!$B:$B,MATCH(--M131,Orca!$A:$A,0)),""))</f>
        <v>C</v>
      </c>
    </row>
    <row r="132" spans="1:14" ht="15" customHeight="1" x14ac:dyDescent="0.2">
      <c r="A132" s="7">
        <v>127</v>
      </c>
      <c r="B132" s="8" t="s">
        <v>398</v>
      </c>
      <c r="C132" s="7" t="s">
        <v>399</v>
      </c>
      <c r="D132" s="7" t="s">
        <v>400</v>
      </c>
      <c r="E132" s="7">
        <v>2</v>
      </c>
      <c r="F132" s="7">
        <v>2</v>
      </c>
      <c r="G132" s="7">
        <v>551</v>
      </c>
      <c r="H132" s="9">
        <v>6255</v>
      </c>
      <c r="I132" s="7"/>
      <c r="J132" s="7"/>
      <c r="K132" s="7"/>
      <c r="L132" s="7"/>
      <c r="M132" s="7" t="str">
        <f>IFERROR(INDEX(Task!$A:$A,MATCH(TRIM(SUBSTITUTE(B132," CFST","")),Task!$G:$G,0)),"")</f>
        <v>1.504</v>
      </c>
      <c r="N132" s="7" t="str">
        <f>IF(M132="","",IFERROR(INDEX(Orca!$B:$B,MATCH(--M132,Orca!$A:$A,0)),""))</f>
        <v>C</v>
      </c>
    </row>
    <row r="133" spans="1:14" ht="15" customHeight="1" x14ac:dyDescent="0.2">
      <c r="A133" s="10">
        <v>128</v>
      </c>
      <c r="B133" s="11" t="s">
        <v>401</v>
      </c>
      <c r="C133" s="10" t="s">
        <v>402</v>
      </c>
      <c r="D133" s="10" t="s">
        <v>403</v>
      </c>
      <c r="E133" s="10">
        <v>2</v>
      </c>
      <c r="F133" s="10">
        <v>3</v>
      </c>
      <c r="G133" s="10">
        <v>564</v>
      </c>
      <c r="H133" s="12">
        <v>6823</v>
      </c>
      <c r="I133" s="10"/>
      <c r="J133" s="10"/>
      <c r="K133" s="10"/>
      <c r="L133" s="10"/>
      <c r="M133" s="10" t="str">
        <f>IFERROR(INDEX(Task!$A:$A,MATCH(TRIM(SUBSTITUTE(B133," CFST","")),Task!$G:$G,0)),"")</f>
        <v>1.486</v>
      </c>
      <c r="N133" s="7" t="str">
        <f>IF(M133="","",IFERROR(INDEX(Orca!$B:$B,MATCH(--M133,Orca!$A:$A,0)),""))</f>
        <v>C</v>
      </c>
    </row>
    <row r="134" spans="1:14" ht="15" customHeight="1" x14ac:dyDescent="0.2">
      <c r="A134" s="7">
        <v>129</v>
      </c>
      <c r="B134" s="8" t="s">
        <v>404</v>
      </c>
      <c r="C134" s="7" t="s">
        <v>405</v>
      </c>
      <c r="D134" s="7" t="s">
        <v>406</v>
      </c>
      <c r="E134" s="7">
        <v>2</v>
      </c>
      <c r="F134" s="7">
        <v>2</v>
      </c>
      <c r="G134" s="7">
        <v>565</v>
      </c>
      <c r="H134" s="9">
        <v>5886</v>
      </c>
      <c r="I134" s="7"/>
      <c r="J134" s="7"/>
      <c r="K134" s="7"/>
      <c r="L134" s="7"/>
      <c r="M134" s="7" t="str">
        <f>IFERROR(INDEX(Task!$A:$A,MATCH(TRIM(SUBSTITUTE(B134," CFST","")),Task!$G:$G,0)),"")</f>
        <v>1.582</v>
      </c>
      <c r="N134" s="7" t="str">
        <f>IF(M134="","",IFERROR(INDEX(Orca!$B:$B,MATCH(--M134,Orca!$A:$A,0)),""))</f>
        <v>C</v>
      </c>
    </row>
    <row r="135" spans="1:14" ht="15" customHeight="1" x14ac:dyDescent="0.2">
      <c r="A135" s="10">
        <v>130</v>
      </c>
      <c r="B135" s="11" t="s">
        <v>407</v>
      </c>
      <c r="C135" s="10" t="s">
        <v>408</v>
      </c>
      <c r="D135" s="10" t="s">
        <v>409</v>
      </c>
      <c r="E135" s="10">
        <v>2</v>
      </c>
      <c r="F135" s="10">
        <v>3</v>
      </c>
      <c r="G135" s="10">
        <v>568</v>
      </c>
      <c r="H135" s="12">
        <v>5598</v>
      </c>
      <c r="I135" s="10"/>
      <c r="J135" s="10"/>
      <c r="K135" s="10"/>
      <c r="L135" s="10"/>
      <c r="M135" s="10" t="str">
        <f>IFERROR(INDEX(Task!$A:$A,MATCH(TRIM(SUBSTITUTE(B135," CFST","")),Task!$G:$G,0)),"")</f>
        <v>1.616</v>
      </c>
      <c r="N135" s="7" t="str">
        <f>IF(M135="","",IFERROR(INDEX(Orca!$B:$B,MATCH(--M135,Orca!$A:$A,0)),""))</f>
        <v>C</v>
      </c>
    </row>
    <row r="136" spans="1:14" ht="15" customHeight="1" x14ac:dyDescent="0.2">
      <c r="A136" s="7">
        <v>131</v>
      </c>
      <c r="B136" s="8" t="s">
        <v>410</v>
      </c>
      <c r="C136" s="7" t="s">
        <v>411</v>
      </c>
      <c r="D136" s="7" t="s">
        <v>412</v>
      </c>
      <c r="E136" s="7">
        <v>2</v>
      </c>
      <c r="F136" s="7">
        <v>2</v>
      </c>
      <c r="G136" s="7">
        <v>569</v>
      </c>
      <c r="H136" s="9">
        <v>5450</v>
      </c>
      <c r="I136" s="7"/>
      <c r="J136" s="7"/>
      <c r="K136" s="7"/>
      <c r="L136" s="7"/>
      <c r="M136" s="7" t="str">
        <f>IFERROR(INDEX(Task!$A:$A,MATCH(TRIM(SUBSTITUTE(B136," CFST","")),Task!$G:$G,0)),"")</f>
        <v>1.572</v>
      </c>
      <c r="N136" s="7" t="str">
        <f>IF(M136="","",IFERROR(INDEX(Orca!$B:$B,MATCH(--M136,Orca!$A:$A,0)),""))</f>
        <v>C</v>
      </c>
    </row>
    <row r="137" spans="1:14" ht="15" customHeight="1" x14ac:dyDescent="0.2">
      <c r="A137" s="10">
        <v>132</v>
      </c>
      <c r="B137" s="11" t="s">
        <v>413</v>
      </c>
      <c r="C137" s="10" t="s">
        <v>414</v>
      </c>
      <c r="D137" s="10" t="s">
        <v>415</v>
      </c>
      <c r="E137" s="10">
        <v>2</v>
      </c>
      <c r="F137" s="10">
        <v>3</v>
      </c>
      <c r="G137" s="10">
        <v>572</v>
      </c>
      <c r="H137" s="12">
        <v>5140</v>
      </c>
      <c r="I137" s="10"/>
      <c r="J137" s="10"/>
      <c r="K137" s="10"/>
      <c r="L137" s="10"/>
      <c r="M137" s="10" t="str">
        <f>IFERROR(INDEX(Task!$A:$A,MATCH(TRIM(SUBSTITUTE(B137," CFST","")),Task!$G:$G,0)),"")</f>
        <v>1.547</v>
      </c>
      <c r="N137" s="7" t="str">
        <f>IF(M137="","",IFERROR(INDEX(Orca!$B:$B,MATCH(--M137,Orca!$A:$A,0)),""))</f>
        <v>C</v>
      </c>
    </row>
    <row r="138" spans="1:14" ht="15" customHeight="1" x14ac:dyDescent="0.2">
      <c r="A138" s="7">
        <v>133</v>
      </c>
      <c r="B138" s="8" t="s">
        <v>416</v>
      </c>
      <c r="C138" s="7" t="s">
        <v>417</v>
      </c>
      <c r="D138" s="7" t="s">
        <v>418</v>
      </c>
      <c r="E138" s="7">
        <v>4</v>
      </c>
      <c r="F138" s="7">
        <v>4</v>
      </c>
      <c r="G138" s="7">
        <v>576</v>
      </c>
      <c r="H138" s="9">
        <v>4840</v>
      </c>
      <c r="I138" s="7"/>
      <c r="J138" s="7"/>
      <c r="K138" s="7"/>
      <c r="L138" s="7"/>
      <c r="M138" s="7" t="str">
        <f>IFERROR(INDEX(Task!$A:$A,MATCH(TRIM(SUBSTITUTE(B138," CFST","")),Task!$G:$G,0)),"")</f>
        <v>1.579</v>
      </c>
      <c r="N138" s="7" t="str">
        <f>IF(M138="","",IFERROR(INDEX(Orca!$B:$B,MATCH(--M138,Orca!$A:$A,0)),""))</f>
        <v>C</v>
      </c>
    </row>
    <row r="139" spans="1:14" ht="15" customHeight="1" x14ac:dyDescent="0.2">
      <c r="A139" s="10">
        <v>134</v>
      </c>
      <c r="B139" s="11" t="s">
        <v>419</v>
      </c>
      <c r="C139" s="10" t="s">
        <v>420</v>
      </c>
      <c r="D139" s="10" t="s">
        <v>421</v>
      </c>
      <c r="E139" s="10">
        <v>2</v>
      </c>
      <c r="F139" s="10">
        <v>2</v>
      </c>
      <c r="G139" s="10">
        <v>585</v>
      </c>
      <c r="H139" s="12">
        <v>5377</v>
      </c>
      <c r="I139" s="10"/>
      <c r="J139" s="10"/>
      <c r="K139" s="10"/>
      <c r="L139" s="10"/>
      <c r="M139" s="10" t="str">
        <f>IFERROR(INDEX(Task!$A:$A,MATCH(TRIM(SUBSTITUTE(B139," CFST","")),Task!$G:$G,0)),"")</f>
        <v>1.589</v>
      </c>
      <c r="N139" s="7" t="str">
        <f>IF(M139="","",IFERROR(INDEX(Orca!$B:$B,MATCH(--M139,Orca!$A:$A,0)),""))</f>
        <v>C</v>
      </c>
    </row>
    <row r="140" spans="1:14" ht="15" customHeight="1" x14ac:dyDescent="0.2">
      <c r="A140" s="7">
        <v>135</v>
      </c>
      <c r="B140" s="8" t="s">
        <v>422</v>
      </c>
      <c r="C140" s="7" t="s">
        <v>423</v>
      </c>
      <c r="D140" s="7" t="s">
        <v>424</v>
      </c>
      <c r="E140" s="7">
        <v>2</v>
      </c>
      <c r="F140" s="7">
        <v>3</v>
      </c>
      <c r="G140" s="7">
        <v>588</v>
      </c>
      <c r="H140" s="9">
        <v>5264</v>
      </c>
      <c r="I140" s="7"/>
      <c r="J140" s="7"/>
      <c r="K140" s="7"/>
      <c r="L140" s="7"/>
      <c r="M140" s="7" t="str">
        <f>IFERROR(INDEX(Task!$A:$A,MATCH(TRIM(SUBSTITUTE(B140," CFST","")),Task!$G:$G,0)),"")</f>
        <v>1.654</v>
      </c>
      <c r="N140" s="7" t="str">
        <f>IF(M140="","",IFERROR(INDEX(Orca!$B:$B,MATCH(--M140,Orca!$A:$A,0)),""))</f>
        <v>C</v>
      </c>
    </row>
    <row r="141" spans="1:14" ht="15" customHeight="1" x14ac:dyDescent="0.2">
      <c r="A141" s="10">
        <v>136</v>
      </c>
      <c r="B141" s="11" t="s">
        <v>425</v>
      </c>
      <c r="C141" s="10" t="s">
        <v>426</v>
      </c>
      <c r="D141" s="10" t="s">
        <v>427</v>
      </c>
      <c r="E141" s="10">
        <v>2</v>
      </c>
      <c r="F141" s="10">
        <v>2</v>
      </c>
      <c r="G141" s="10">
        <v>599</v>
      </c>
      <c r="H141" s="12">
        <v>4891</v>
      </c>
      <c r="I141" s="10"/>
      <c r="J141" s="10"/>
      <c r="K141" s="10"/>
      <c r="L141" s="10"/>
      <c r="M141" s="10" t="str">
        <f>IFERROR(INDEX(Task!$A:$A,MATCH(TRIM(SUBSTITUTE(B141," CFST","")),Task!$G:$G,0)),"")</f>
        <v>1.638</v>
      </c>
      <c r="N141" s="7" t="str">
        <f>IF(M141="","",IFERROR(INDEX(Orca!$B:$B,MATCH(--M141,Orca!$A:$A,0)),""))</f>
        <v>O</v>
      </c>
    </row>
    <row r="142" spans="1:14" ht="15" customHeight="1" x14ac:dyDescent="0.2">
      <c r="A142" s="7">
        <v>137</v>
      </c>
      <c r="B142" s="8" t="s">
        <v>428</v>
      </c>
      <c r="C142" s="7" t="s">
        <v>429</v>
      </c>
      <c r="D142" s="7" t="s">
        <v>430</v>
      </c>
      <c r="E142" s="7">
        <v>8</v>
      </c>
      <c r="F142" s="7">
        <v>3</v>
      </c>
      <c r="G142" s="7">
        <v>603</v>
      </c>
      <c r="H142" s="9">
        <v>5005</v>
      </c>
      <c r="I142" s="7"/>
      <c r="J142" s="7"/>
      <c r="K142" s="7"/>
      <c r="L142" s="7"/>
      <c r="M142" s="7" t="str">
        <f>IFERROR(INDEX(Task!$A:$A,MATCH(TRIM(SUBSTITUTE(B142," CFST","")),Task!$G:$G,0)),"")</f>
        <v>1.542</v>
      </c>
      <c r="N142" s="7" t="str">
        <f>IF(M142="","",IFERROR(INDEX(Orca!$B:$B,MATCH(--M142,Orca!$A:$A,0)),""))</f>
        <v>C</v>
      </c>
    </row>
    <row r="143" spans="1:14" ht="15" customHeight="1" x14ac:dyDescent="0.2">
      <c r="A143" s="10">
        <v>138</v>
      </c>
      <c r="B143" s="11" t="s">
        <v>431</v>
      </c>
      <c r="C143" s="10" t="s">
        <v>432</v>
      </c>
      <c r="D143" s="10" t="s">
        <v>433</v>
      </c>
      <c r="E143" s="10">
        <v>4</v>
      </c>
      <c r="F143" s="10">
        <v>4</v>
      </c>
      <c r="G143" s="10">
        <v>612</v>
      </c>
      <c r="H143" s="12">
        <v>4898</v>
      </c>
      <c r="I143" s="10"/>
      <c r="J143" s="10"/>
      <c r="K143" s="10"/>
      <c r="L143" s="10"/>
      <c r="M143" s="10" t="str">
        <f>IFERROR(INDEX(Task!$A:$A,MATCH(TRIM(SUBSTITUTE(B143," CFST","")),Task!$G:$G,0)),"")</f>
        <v>1.592</v>
      </c>
      <c r="N143" s="7" t="str">
        <f>IF(M143="","",IFERROR(INDEX(Orca!$B:$B,MATCH(--M143,Orca!$A:$A,0)),""))</f>
        <v>C</v>
      </c>
    </row>
    <row r="144" spans="1:14" ht="15" customHeight="1" x14ac:dyDescent="0.2">
      <c r="A144" s="7">
        <v>139</v>
      </c>
      <c r="B144" s="8" t="s">
        <v>434</v>
      </c>
      <c r="C144" s="7" t="s">
        <v>435</v>
      </c>
      <c r="D144" s="7" t="s">
        <v>436</v>
      </c>
      <c r="E144" s="7">
        <v>2</v>
      </c>
      <c r="F144" s="7">
        <v>2</v>
      </c>
      <c r="G144" s="7">
        <v>619</v>
      </c>
      <c r="H144" s="9">
        <v>4487</v>
      </c>
      <c r="I144" s="7"/>
      <c r="J144" s="7"/>
      <c r="K144" s="7"/>
      <c r="L144" s="7"/>
      <c r="M144" s="7" t="str">
        <f>IFERROR(INDEX(Task!$A:$A,MATCH(TRIM(SUBSTITUTE(B144," CFST","")),Task!$G:$G,0)),"")</f>
        <v>1.593</v>
      </c>
      <c r="N144" s="7" t="str">
        <f>IF(M144="","",IFERROR(INDEX(Orca!$B:$B,MATCH(--M144,Orca!$A:$A,0)),""))</f>
        <v>C</v>
      </c>
    </row>
    <row r="145" spans="1:14" ht="15" customHeight="1" x14ac:dyDescent="0.2">
      <c r="A145" s="10">
        <v>140</v>
      </c>
      <c r="B145" s="11" t="s">
        <v>437</v>
      </c>
      <c r="C145" s="10" t="s">
        <v>438</v>
      </c>
      <c r="D145" s="10" t="s">
        <v>439</v>
      </c>
      <c r="E145" s="10">
        <v>4</v>
      </c>
      <c r="F145" s="10">
        <v>3</v>
      </c>
      <c r="G145" s="10">
        <v>623</v>
      </c>
      <c r="H145" s="12">
        <v>4508</v>
      </c>
      <c r="I145" s="10"/>
      <c r="J145" s="10"/>
      <c r="K145" s="10"/>
      <c r="L145" s="10"/>
      <c r="M145" s="10" t="str">
        <f>IFERROR(INDEX(Task!$A:$A,MATCH(TRIM(SUBSTITUTE(B145," CFST","")),Task!$G:$G,0)),"")</f>
        <v>1.516</v>
      </c>
      <c r="N145" s="7" t="str">
        <f>IF(M145="","",IFERROR(INDEX(Orca!$B:$B,MATCH(--M145,Orca!$A:$A,0)),""))</f>
        <v>C</v>
      </c>
    </row>
    <row r="146" spans="1:14" ht="15" customHeight="1" x14ac:dyDescent="0.2">
      <c r="A146" s="7">
        <v>141</v>
      </c>
      <c r="B146" s="8" t="s">
        <v>440</v>
      </c>
      <c r="C146" s="7" t="s">
        <v>441</v>
      </c>
      <c r="D146" s="7" t="s">
        <v>442</v>
      </c>
      <c r="E146" s="7">
        <v>2</v>
      </c>
      <c r="F146" s="7">
        <v>2</v>
      </c>
      <c r="G146" s="7">
        <v>659</v>
      </c>
      <c r="H146" s="9">
        <v>5357</v>
      </c>
      <c r="I146" s="7"/>
      <c r="J146" s="7"/>
      <c r="K146" s="7"/>
      <c r="L146" s="7"/>
      <c r="M146" s="7" t="str">
        <f>IFERROR(INDEX(Task!$A:$A,MATCH(TRIM(SUBSTITUTE(B146," CFST","")),Task!$G:$G,0)),"")</f>
        <v>1.479</v>
      </c>
      <c r="N146" s="7" t="str">
        <f>IF(M146="","",IFERROR(INDEX(Orca!$B:$B,MATCH(--M146,Orca!$A:$A,0)),""))</f>
        <v>C</v>
      </c>
    </row>
    <row r="147" spans="1:14" ht="15" customHeight="1" x14ac:dyDescent="0.2">
      <c r="A147" s="10">
        <v>142</v>
      </c>
      <c r="B147" s="11" t="s">
        <v>443</v>
      </c>
      <c r="C147" s="10" t="s">
        <v>444</v>
      </c>
      <c r="D147" s="10" t="s">
        <v>445</v>
      </c>
      <c r="E147" s="10">
        <v>2</v>
      </c>
      <c r="F147" s="10">
        <v>3</v>
      </c>
      <c r="G147" s="10">
        <v>662</v>
      </c>
      <c r="H147" s="12">
        <v>5279</v>
      </c>
      <c r="I147" s="10"/>
      <c r="J147" s="10"/>
      <c r="K147" s="10"/>
      <c r="L147" s="10"/>
      <c r="M147" s="10" t="str">
        <f>IFERROR(INDEX(Task!$A:$A,MATCH(TRIM(SUBSTITUTE(B147," CFST","")),Task!$G:$G,0)),"")</f>
        <v>1.570</v>
      </c>
      <c r="N147" s="7" t="str">
        <f>IF(M147="","",IFERROR(INDEX(Orca!$B:$B,MATCH(--M147,Orca!$A:$A,0)),""))</f>
        <v>O</v>
      </c>
    </row>
    <row r="148" spans="1:14" ht="15" customHeight="1" x14ac:dyDescent="0.2">
      <c r="A148" s="7">
        <v>143</v>
      </c>
      <c r="B148" s="8" t="s">
        <v>446</v>
      </c>
      <c r="C148" s="7" t="s">
        <v>447</v>
      </c>
      <c r="D148" s="7" t="s">
        <v>448</v>
      </c>
      <c r="E148" s="7">
        <v>2</v>
      </c>
      <c r="F148" s="7">
        <v>2</v>
      </c>
      <c r="G148" s="7">
        <v>663</v>
      </c>
      <c r="H148" s="9">
        <v>5134</v>
      </c>
      <c r="I148" s="7"/>
      <c r="J148" s="7"/>
      <c r="K148" s="7"/>
      <c r="L148" s="7"/>
      <c r="M148" s="7" t="str">
        <f>IFERROR(INDEX(Task!$A:$A,MATCH(TRIM(SUBSTITUTE(B148," CFST","")),Task!$G:$G,0)),"")</f>
        <v>1.603</v>
      </c>
      <c r="N148" s="7" t="str">
        <f>IF(M148="","",IFERROR(INDEX(Orca!$B:$B,MATCH(--M148,Orca!$A:$A,0)),""))</f>
        <v>O</v>
      </c>
    </row>
    <row r="149" spans="1:14" ht="15" customHeight="1" x14ac:dyDescent="0.2">
      <c r="A149" s="10">
        <v>144</v>
      </c>
      <c r="B149" s="11" t="s">
        <v>449</v>
      </c>
      <c r="C149" s="10" t="s">
        <v>450</v>
      </c>
      <c r="D149" s="10" t="s">
        <v>451</v>
      </c>
      <c r="E149" s="10">
        <v>4</v>
      </c>
      <c r="F149" s="10">
        <v>3</v>
      </c>
      <c r="G149" s="10">
        <v>667</v>
      </c>
      <c r="H149" s="12">
        <v>4954</v>
      </c>
      <c r="I149" s="10"/>
      <c r="J149" s="10"/>
      <c r="K149" s="10"/>
      <c r="L149" s="10"/>
      <c r="M149" s="10" t="str">
        <f>IFERROR(INDEX(Task!$A:$A,MATCH(TRIM(SUBSTITUTE(B149," CFST","")),Task!$G:$G,0)),"")</f>
        <v>1.561</v>
      </c>
      <c r="N149" s="7" t="str">
        <f>IF(M149="","",IFERROR(INDEX(Orca!$B:$B,MATCH(--M149,Orca!$A:$A,0)),""))</f>
        <v>C</v>
      </c>
    </row>
    <row r="150" spans="1:14" ht="15" customHeight="1" x14ac:dyDescent="0.2">
      <c r="A150" s="7">
        <v>145</v>
      </c>
      <c r="B150" s="8" t="s">
        <v>452</v>
      </c>
      <c r="C150" s="7" t="s">
        <v>453</v>
      </c>
      <c r="D150" s="7" t="s">
        <v>454</v>
      </c>
      <c r="E150" s="7">
        <v>2</v>
      </c>
      <c r="F150" s="7">
        <v>2</v>
      </c>
      <c r="G150" s="7">
        <v>669</v>
      </c>
      <c r="H150" s="9">
        <v>4756</v>
      </c>
      <c r="I150" s="7"/>
      <c r="J150" s="7"/>
      <c r="K150" s="7"/>
      <c r="L150" s="7"/>
      <c r="M150" s="7" t="str">
        <f>IFERROR(INDEX(Task!$A:$A,MATCH(TRIM(SUBSTITUTE(B150," CFST","")),Task!$G:$G,0)),"")</f>
        <v>1.549</v>
      </c>
      <c r="N150" s="7" t="str">
        <f>IF(M150="","",IFERROR(INDEX(Orca!$B:$B,MATCH(--M150,Orca!$A:$A,0)),""))</f>
        <v>C</v>
      </c>
    </row>
    <row r="151" spans="1:14" ht="15" customHeight="1" x14ac:dyDescent="0.2">
      <c r="A151" s="10">
        <v>146</v>
      </c>
      <c r="B151" s="11" t="s">
        <v>455</v>
      </c>
      <c r="C151" s="10" t="s">
        <v>456</v>
      </c>
      <c r="D151" s="10" t="s">
        <v>457</v>
      </c>
      <c r="E151" s="10">
        <v>2</v>
      </c>
      <c r="F151" s="10">
        <v>3</v>
      </c>
      <c r="G151" s="10">
        <v>672</v>
      </c>
      <c r="H151" s="12">
        <v>4175</v>
      </c>
      <c r="I151" s="10"/>
      <c r="J151" s="10"/>
      <c r="K151" s="10"/>
      <c r="L151" s="10"/>
      <c r="M151" s="10" t="str">
        <f>IFERROR(INDEX(Task!$A:$A,MATCH(TRIM(SUBSTITUTE(B151," CFST","")),Task!$G:$G,0)),"")</f>
        <v>1.626</v>
      </c>
      <c r="N151" s="7" t="str">
        <f>IF(M151="","",IFERROR(INDEX(Orca!$B:$B,MATCH(--M151,Orca!$A:$A,0)),""))</f>
        <v>C</v>
      </c>
    </row>
    <row r="152" spans="1:14" ht="15" customHeight="1" x14ac:dyDescent="0.2">
      <c r="A152" s="7">
        <v>147</v>
      </c>
      <c r="B152" s="8" t="s">
        <v>458</v>
      </c>
      <c r="C152" s="7" t="s">
        <v>459</v>
      </c>
      <c r="D152" s="7" t="s">
        <v>460</v>
      </c>
      <c r="E152" s="7">
        <v>8</v>
      </c>
      <c r="F152" s="7">
        <v>4</v>
      </c>
      <c r="G152" s="7">
        <v>676</v>
      </c>
      <c r="H152" s="9">
        <v>3860</v>
      </c>
      <c r="I152" s="7"/>
      <c r="J152" s="7"/>
      <c r="K152" s="7"/>
      <c r="L152" s="7"/>
      <c r="M152" s="7" t="str">
        <f>IFERROR(INDEX(Task!$A:$A,MATCH(TRIM(SUBSTITUTE(B152," CFST","")),Task!$G:$G,0)),"")</f>
        <v>1.560</v>
      </c>
      <c r="N152" s="7" t="str">
        <f>IF(M152="","",IFERROR(INDEX(Orca!$B:$B,MATCH(--M152,Orca!$A:$A,0)),""))</f>
        <v>C</v>
      </c>
    </row>
    <row r="153" spans="1:14" ht="15" customHeight="1" x14ac:dyDescent="0.2">
      <c r="A153" s="10">
        <v>148</v>
      </c>
      <c r="B153" s="11" t="s">
        <v>461</v>
      </c>
      <c r="C153" s="10" t="s">
        <v>462</v>
      </c>
      <c r="D153" s="10" t="s">
        <v>463</v>
      </c>
      <c r="E153" s="10">
        <v>4</v>
      </c>
      <c r="F153" s="10">
        <v>1</v>
      </c>
      <c r="G153" s="10">
        <v>681</v>
      </c>
      <c r="H153" s="12">
        <v>3594</v>
      </c>
      <c r="I153" s="10"/>
      <c r="J153" s="10"/>
      <c r="K153" s="10"/>
      <c r="L153" s="10"/>
      <c r="M153" s="10" t="str">
        <f>IFERROR(INDEX(Task!$A:$A,MATCH(TRIM(SUBSTITUTE(B153," CFST","")),Task!$G:$G,0)),"")</f>
        <v>1.518</v>
      </c>
      <c r="N153" s="7" t="str">
        <f>IF(M153="","",IFERROR(INDEX(Orca!$B:$B,MATCH(--M153,Orca!$A:$A,0)),""))</f>
        <v>O</v>
      </c>
    </row>
    <row r="154" spans="1:14" ht="15" customHeight="1" x14ac:dyDescent="0.2">
      <c r="A154" s="7">
        <v>149</v>
      </c>
      <c r="B154" s="8" t="s">
        <v>464</v>
      </c>
      <c r="C154" s="7" t="s">
        <v>465</v>
      </c>
      <c r="D154" s="7" t="s">
        <v>466</v>
      </c>
      <c r="E154" s="7">
        <v>4</v>
      </c>
      <c r="F154" s="7">
        <v>2</v>
      </c>
      <c r="G154" s="7">
        <v>694</v>
      </c>
      <c r="H154" s="9">
        <v>3147</v>
      </c>
      <c r="I154" s="7"/>
      <c r="J154" s="7"/>
      <c r="K154" s="7"/>
      <c r="L154" s="7"/>
      <c r="M154" s="7" t="str">
        <f>IFERROR(INDEX(Task!$A:$A,MATCH(TRIM(SUBSTITUTE(B154," CFST","")),Task!$G:$G,0)),"")</f>
        <v>1.494</v>
      </c>
      <c r="N154" s="7" t="str">
        <f>IF(M154="","",IFERROR(INDEX(Orca!$B:$B,MATCH(--M154,Orca!$A:$A,0)),""))</f>
        <v>O</v>
      </c>
    </row>
    <row r="155" spans="1:14" ht="15" customHeight="1" x14ac:dyDescent="0.2">
      <c r="A155" s="10">
        <v>150</v>
      </c>
      <c r="B155" s="11" t="s">
        <v>467</v>
      </c>
      <c r="C155" s="10" t="s">
        <v>468</v>
      </c>
      <c r="D155" s="10" t="s">
        <v>469</v>
      </c>
      <c r="E155" s="10">
        <v>2</v>
      </c>
      <c r="F155" s="10">
        <v>3</v>
      </c>
      <c r="G155" s="10">
        <v>702</v>
      </c>
      <c r="H155" s="12">
        <v>2511</v>
      </c>
      <c r="I155" s="10"/>
      <c r="J155" s="10"/>
      <c r="K155" s="10"/>
      <c r="L155" s="10"/>
      <c r="M155" s="10" t="str">
        <f>IFERROR(INDEX(Task!$A:$A,MATCH(TRIM(SUBSTITUTE(B155," CFST","")),Task!$G:$G,0)),"")</f>
        <v>1.624</v>
      </c>
      <c r="N155" s="7" t="str">
        <f>IF(M155="","",IFERROR(INDEX(Orca!$B:$B,MATCH(--M155,Orca!$A:$A,0)),""))</f>
        <v>O</v>
      </c>
    </row>
    <row r="156" spans="1:14" ht="15" customHeight="1" x14ac:dyDescent="0.2">
      <c r="A156" s="7">
        <v>151</v>
      </c>
      <c r="B156" s="8" t="s">
        <v>470</v>
      </c>
      <c r="C156" s="7" t="s">
        <v>471</v>
      </c>
      <c r="D156" s="7" t="s">
        <v>472</v>
      </c>
      <c r="E156" s="7">
        <v>2</v>
      </c>
      <c r="F156" s="7">
        <v>2</v>
      </c>
      <c r="G156" s="7">
        <v>703</v>
      </c>
      <c r="H156" s="9">
        <v>2770</v>
      </c>
      <c r="I156" s="7"/>
      <c r="J156" s="7"/>
      <c r="K156" s="7"/>
      <c r="L156" s="7"/>
      <c r="M156" s="7" t="str">
        <f>IFERROR(INDEX(Task!$A:$A,MATCH(TRIM(SUBSTITUTE(B156," CFST","")),Task!$G:$G,0)),"")</f>
        <v>1.553</v>
      </c>
      <c r="N156" s="7" t="str">
        <f>IF(M156="","",IFERROR(INDEX(Orca!$B:$B,MATCH(--M156,Orca!$A:$A,0)),""))</f>
        <v>O</v>
      </c>
    </row>
    <row r="157" spans="1:14" ht="15" customHeight="1" x14ac:dyDescent="0.2">
      <c r="A157" s="10">
        <v>152</v>
      </c>
      <c r="B157" s="11" t="s">
        <v>473</v>
      </c>
      <c r="C157" s="10" t="s">
        <v>474</v>
      </c>
      <c r="D157" s="10" t="s">
        <v>475</v>
      </c>
      <c r="E157" s="10">
        <v>4</v>
      </c>
      <c r="F157" s="10">
        <v>3</v>
      </c>
      <c r="G157" s="10">
        <v>707</v>
      </c>
      <c r="H157" s="12">
        <v>2777</v>
      </c>
      <c r="I157" s="10"/>
      <c r="J157" s="10"/>
      <c r="K157" s="10"/>
      <c r="L157" s="10"/>
      <c r="M157" s="10" t="str">
        <f>IFERROR(INDEX(Task!$A:$A,MATCH(TRIM(SUBSTITUTE(B157," CFST","")),Task!$G:$G,0)),"")</f>
        <v>1.562</v>
      </c>
      <c r="N157" s="7" t="str">
        <f>IF(M157="","",IFERROR(INDEX(Orca!$B:$B,MATCH(--M157,Orca!$A:$A,0)),""))</f>
        <v>O</v>
      </c>
    </row>
    <row r="158" spans="1:14" ht="15" customHeight="1" x14ac:dyDescent="0.2">
      <c r="A158" s="7">
        <v>153</v>
      </c>
      <c r="B158" s="8" t="s">
        <v>476</v>
      </c>
      <c r="C158" s="7" t="s">
        <v>477</v>
      </c>
      <c r="D158" s="7" t="s">
        <v>478</v>
      </c>
      <c r="E158" s="7">
        <v>4</v>
      </c>
      <c r="F158" s="7">
        <v>4</v>
      </c>
      <c r="G158" s="7">
        <v>712</v>
      </c>
      <c r="H158" s="9">
        <v>3073</v>
      </c>
      <c r="I158" s="7"/>
      <c r="J158" s="7"/>
      <c r="K158" s="7"/>
      <c r="L158" s="7"/>
      <c r="M158" s="7" t="str">
        <f>IFERROR(INDEX(Task!$A:$A,MATCH(TRIM(SUBSTITUTE(B158," CFST","")),Task!$G:$G,0)),"")</f>
        <v>1.583</v>
      </c>
      <c r="N158" s="7" t="str">
        <f>IF(M158="","",IFERROR(INDEX(Orca!$B:$B,MATCH(--M158,Orca!$A:$A,0)),""))</f>
        <v>O</v>
      </c>
    </row>
    <row r="159" spans="1:14" ht="15" customHeight="1" x14ac:dyDescent="0.2">
      <c r="A159" s="10">
        <v>154</v>
      </c>
      <c r="B159" s="11" t="s">
        <v>479</v>
      </c>
      <c r="C159" s="10" t="s">
        <v>480</v>
      </c>
      <c r="D159" s="10" t="s">
        <v>481</v>
      </c>
      <c r="E159" s="10">
        <v>4</v>
      </c>
      <c r="F159" s="10">
        <v>1</v>
      </c>
      <c r="G159" s="10">
        <v>713</v>
      </c>
      <c r="H159" s="12">
        <v>3260</v>
      </c>
      <c r="I159" s="10"/>
      <c r="J159" s="10"/>
      <c r="K159" s="10"/>
      <c r="L159" s="10"/>
      <c r="M159" s="10" t="str">
        <f>IFERROR(INDEX(Task!$A:$A,MATCH(TRIM(SUBSTITUTE(B159," CFST","")),Task!$G:$G,0)),"")</f>
        <v>1.612</v>
      </c>
      <c r="N159" s="7" t="str">
        <f>IF(M159="","",IFERROR(INDEX(Orca!$B:$B,MATCH(--M159,Orca!$A:$A,0)),""))</f>
        <v>O</v>
      </c>
    </row>
    <row r="160" spans="1:14" ht="15" customHeight="1" x14ac:dyDescent="0.2">
      <c r="A160" s="7">
        <v>155</v>
      </c>
      <c r="B160" s="8" t="s">
        <v>482</v>
      </c>
      <c r="C160" s="7" t="s">
        <v>483</v>
      </c>
      <c r="D160" s="7" t="s">
        <v>484</v>
      </c>
      <c r="E160" s="7">
        <v>4</v>
      </c>
      <c r="F160" s="7">
        <v>2</v>
      </c>
      <c r="G160" s="7">
        <v>718</v>
      </c>
      <c r="H160" s="9">
        <v>3252</v>
      </c>
      <c r="I160" s="7"/>
      <c r="J160" s="7"/>
      <c r="K160" s="7"/>
      <c r="L160" s="7"/>
      <c r="M160" s="7" t="str">
        <f>IFERROR(INDEX(Task!$A:$A,MATCH(TRIM(SUBSTITUTE(B160," CFST","")),Task!$G:$G,0)),"")</f>
        <v>1.621</v>
      </c>
      <c r="N160" s="7" t="str">
        <f>IF(M160="","",IFERROR(INDEX(Orca!$B:$B,MATCH(--M160,Orca!$A:$A,0)),""))</f>
        <v>O</v>
      </c>
    </row>
    <row r="161" spans="1:14" ht="15" customHeight="1" x14ac:dyDescent="0.2">
      <c r="A161" s="10">
        <v>156</v>
      </c>
      <c r="B161" s="11" t="s">
        <v>485</v>
      </c>
      <c r="C161" s="10" t="s">
        <v>486</v>
      </c>
      <c r="D161" s="10" t="s">
        <v>487</v>
      </c>
      <c r="E161" s="10">
        <v>4</v>
      </c>
      <c r="F161" s="10">
        <v>3</v>
      </c>
      <c r="G161" s="10">
        <v>723</v>
      </c>
      <c r="H161" s="12">
        <v>3542</v>
      </c>
      <c r="I161" s="10"/>
      <c r="J161" s="10"/>
      <c r="K161" s="10"/>
      <c r="L161" s="10"/>
      <c r="M161" s="10" t="str">
        <f>IFERROR(INDEX(Task!$A:$A,MATCH(TRIM(SUBSTITUTE(B161," CFST","")),Task!$G:$G,0)),"")</f>
        <v>1.627</v>
      </c>
      <c r="N161" s="7" t="str">
        <f>IF(M161="","",IFERROR(INDEX(Orca!$B:$B,MATCH(--M161,Orca!$A:$A,0)),""))</f>
        <v>O</v>
      </c>
    </row>
    <row r="162" spans="1:14" ht="15" customHeight="1" x14ac:dyDescent="0.2">
      <c r="A162" s="7">
        <v>157</v>
      </c>
      <c r="B162" s="8" t="s">
        <v>488</v>
      </c>
      <c r="C162" s="7" t="s">
        <v>489</v>
      </c>
      <c r="D162" s="7" t="s">
        <v>490</v>
      </c>
      <c r="E162" s="7">
        <v>4</v>
      </c>
      <c r="F162" s="7">
        <v>4</v>
      </c>
      <c r="G162" s="7">
        <v>728</v>
      </c>
      <c r="H162" s="9">
        <v>3159</v>
      </c>
      <c r="I162" s="7"/>
      <c r="J162" s="7"/>
      <c r="K162" s="7"/>
      <c r="L162" s="7"/>
      <c r="M162" s="7" t="str">
        <f>IFERROR(INDEX(Task!$A:$A,MATCH(TRIM(SUBSTITUTE(B162," CFST","")),Task!$G:$G,0)),"")</f>
        <v>1.544</v>
      </c>
      <c r="N162" s="7" t="str">
        <f>IF(M162="","",IFERROR(INDEX(Orca!$B:$B,MATCH(--M162,Orca!$A:$A,0)),""))</f>
        <v>C</v>
      </c>
    </row>
    <row r="163" spans="1:14" ht="15" customHeight="1" x14ac:dyDescent="0.2">
      <c r="A163" s="10">
        <v>158</v>
      </c>
      <c r="B163" s="11" t="s">
        <v>491</v>
      </c>
      <c r="C163" s="10" t="s">
        <v>492</v>
      </c>
      <c r="D163" s="10" t="s">
        <v>493</v>
      </c>
      <c r="E163" s="10">
        <v>4</v>
      </c>
      <c r="F163" s="10">
        <v>1</v>
      </c>
      <c r="G163" s="10">
        <v>729</v>
      </c>
      <c r="H163" s="12">
        <v>3061</v>
      </c>
      <c r="I163" s="10"/>
      <c r="J163" s="10"/>
      <c r="K163" s="10"/>
      <c r="L163" s="10"/>
      <c r="M163" s="10" t="str">
        <f>IFERROR(INDEX(Task!$A:$A,MATCH(TRIM(SUBSTITUTE(B163," CFST","")),Task!$G:$G,0)),"")</f>
        <v>1.574</v>
      </c>
      <c r="N163" s="7" t="str">
        <f>IF(M163="","",IFERROR(INDEX(Orca!$B:$B,MATCH(--M163,Orca!$A:$A,0)),""))</f>
        <v>O</v>
      </c>
    </row>
    <row r="164" spans="1:14" ht="15" customHeight="1" x14ac:dyDescent="0.2">
      <c r="A164" s="7">
        <v>159</v>
      </c>
      <c r="B164" s="8" t="s">
        <v>494</v>
      </c>
      <c r="C164" s="7" t="s">
        <v>495</v>
      </c>
      <c r="D164" s="7" t="s">
        <v>496</v>
      </c>
      <c r="E164" s="7">
        <v>4</v>
      </c>
      <c r="F164" s="7">
        <v>2</v>
      </c>
      <c r="G164" s="7">
        <v>744</v>
      </c>
      <c r="H164" s="9">
        <v>2733</v>
      </c>
      <c r="I164" s="7"/>
      <c r="J164" s="7"/>
      <c r="K164" s="7"/>
      <c r="L164" s="7"/>
      <c r="M164" s="7" t="str">
        <f>IFERROR(INDEX(Task!$A:$A,MATCH(TRIM(SUBSTITUTE(B164," CFST","")),Task!$G:$G,0)),"")</f>
        <v>1.645</v>
      </c>
      <c r="N164" s="7" t="str">
        <f>IF(M164="","",IFERROR(INDEX(Orca!$B:$B,MATCH(--M164,Orca!$A:$A,0)),""))</f>
        <v>C</v>
      </c>
    </row>
    <row r="165" spans="1:14" ht="15" customHeight="1" x14ac:dyDescent="0.2">
      <c r="A165" s="10">
        <v>160</v>
      </c>
      <c r="B165" s="11" t="s">
        <v>497</v>
      </c>
      <c r="C165" s="10" t="s">
        <v>498</v>
      </c>
      <c r="D165" s="10" t="s">
        <v>499</v>
      </c>
      <c r="E165" s="10">
        <v>4</v>
      </c>
      <c r="F165" s="10">
        <v>3</v>
      </c>
      <c r="G165" s="10">
        <v>749</v>
      </c>
      <c r="H165" s="12">
        <v>2647</v>
      </c>
      <c r="I165" s="10"/>
      <c r="J165" s="10"/>
      <c r="K165" s="10"/>
      <c r="L165" s="10"/>
      <c r="M165" s="10" t="str">
        <f>IFERROR(INDEX(Task!$A:$A,MATCH(TRIM(SUBSTITUTE(B165," CFST","")),Task!$G:$G,0)),"")</f>
        <v>1.551</v>
      </c>
      <c r="N165" s="7" t="str">
        <f>IF(M165="","",IFERROR(INDEX(Orca!$B:$B,MATCH(--M165,Orca!$A:$A,0)),""))</f>
        <v>O</v>
      </c>
    </row>
    <row r="166" spans="1:14" ht="15" customHeight="1" x14ac:dyDescent="0.2">
      <c r="A166" s="7">
        <v>161</v>
      </c>
      <c r="B166" s="8" t="s">
        <v>500</v>
      </c>
      <c r="C166" s="7" t="s">
        <v>501</v>
      </c>
      <c r="D166" s="7" t="s">
        <v>502</v>
      </c>
      <c r="E166" s="7">
        <v>2</v>
      </c>
      <c r="F166" s="7">
        <v>2</v>
      </c>
      <c r="G166" s="7">
        <v>751</v>
      </c>
      <c r="H166" s="9">
        <v>2606</v>
      </c>
      <c r="I166" s="7"/>
      <c r="J166" s="7"/>
      <c r="K166" s="7"/>
      <c r="L166" s="7"/>
      <c r="M166" s="7" t="str">
        <f>IFERROR(INDEX(Task!$A:$A,MATCH(TRIM(SUBSTITUTE(B166," CFST","")),Task!$G:$G,0)),"")</f>
        <v>1.482</v>
      </c>
      <c r="N166" s="7" t="str">
        <f>IF(M166="","",IFERROR(INDEX(Orca!$B:$B,MATCH(--M166,Orca!$A:$A,0)),""))</f>
        <v>O</v>
      </c>
    </row>
    <row r="167" spans="1:14" ht="15" customHeight="1" x14ac:dyDescent="0.2">
      <c r="A167" s="10">
        <v>162</v>
      </c>
      <c r="B167" s="11" t="s">
        <v>503</v>
      </c>
      <c r="C167" s="10" t="s">
        <v>504</v>
      </c>
      <c r="D167" s="10" t="s">
        <v>505</v>
      </c>
      <c r="E167" s="10">
        <v>4</v>
      </c>
      <c r="F167" s="10">
        <v>3</v>
      </c>
      <c r="G167" s="10">
        <v>755</v>
      </c>
      <c r="H167" s="12">
        <v>2530</v>
      </c>
      <c r="I167" s="10"/>
      <c r="J167" s="10"/>
      <c r="K167" s="10"/>
      <c r="L167" s="10"/>
      <c r="M167" s="10" t="str">
        <f>IFERROR(INDEX(Task!$A:$A,MATCH(TRIM(SUBSTITUTE(B167," CFST","")),Task!$G:$G,0)),"")</f>
        <v>1.585</v>
      </c>
      <c r="N167" s="7" t="str">
        <f>IF(M167="","",IFERROR(INDEX(Orca!$B:$B,MATCH(--M167,Orca!$A:$A,0)),""))</f>
        <v>O</v>
      </c>
    </row>
    <row r="168" spans="1:14" ht="15" customHeight="1" x14ac:dyDescent="0.2">
      <c r="A168" s="7">
        <v>163</v>
      </c>
      <c r="B168" s="8" t="s">
        <v>506</v>
      </c>
      <c r="C168" s="7" t="s">
        <v>507</v>
      </c>
      <c r="D168" s="7" t="s">
        <v>508</v>
      </c>
      <c r="E168" s="7">
        <v>2</v>
      </c>
      <c r="F168" s="7">
        <v>2</v>
      </c>
      <c r="G168" s="7">
        <v>767</v>
      </c>
      <c r="H168" s="9">
        <v>2332</v>
      </c>
      <c r="I168" s="7"/>
      <c r="J168" s="7"/>
      <c r="K168" s="7"/>
      <c r="L168" s="7"/>
      <c r="M168" s="7" t="str">
        <f>IFERROR(INDEX(Task!$A:$A,MATCH(TRIM(SUBSTITUTE(B168," CFST","")),Task!$G:$G,0)),"")</f>
        <v>1.564</v>
      </c>
      <c r="N168" s="7" t="str">
        <f>IF(M168="","",IFERROR(INDEX(Orca!$B:$B,MATCH(--M168,Orca!$A:$A,0)),""))</f>
        <v>O</v>
      </c>
    </row>
    <row r="169" spans="1:14" ht="15" customHeight="1" x14ac:dyDescent="0.2">
      <c r="A169" s="10">
        <v>164</v>
      </c>
      <c r="B169" s="11" t="s">
        <v>509</v>
      </c>
      <c r="C169" s="10" t="s">
        <v>510</v>
      </c>
      <c r="D169" s="10" t="s">
        <v>511</v>
      </c>
      <c r="E169" s="10">
        <v>4</v>
      </c>
      <c r="F169" s="10">
        <v>3</v>
      </c>
      <c r="G169" s="10">
        <v>779</v>
      </c>
      <c r="H169" s="12">
        <v>2014</v>
      </c>
      <c r="I169" s="10"/>
      <c r="J169" s="10"/>
      <c r="K169" s="10"/>
      <c r="L169" s="10"/>
      <c r="M169" s="10" t="str">
        <f>IFERROR(INDEX(Task!$A:$A,MATCH(TRIM(SUBSTITUTE(B169," CFST","")),Task!$G:$G,0)),"")</f>
        <v>1.550</v>
      </c>
      <c r="N169" s="7" t="str">
        <f>IF(M169="","",IFERROR(INDEX(Orca!$B:$B,MATCH(--M169,Orca!$A:$A,0)),""))</f>
        <v>O</v>
      </c>
    </row>
    <row r="170" spans="1:14" ht="15" customHeight="1" x14ac:dyDescent="0.2">
      <c r="A170" s="7">
        <v>165</v>
      </c>
      <c r="B170" s="8" t="s">
        <v>512</v>
      </c>
      <c r="C170" s="7" t="s">
        <v>513</v>
      </c>
      <c r="D170" s="7" t="s">
        <v>514</v>
      </c>
      <c r="E170" s="7">
        <v>4</v>
      </c>
      <c r="F170" s="7">
        <v>4</v>
      </c>
      <c r="G170" s="7">
        <v>784</v>
      </c>
      <c r="H170" s="9">
        <v>2230</v>
      </c>
      <c r="I170" s="7"/>
      <c r="J170" s="7"/>
      <c r="K170" s="7"/>
      <c r="L170" s="7"/>
      <c r="M170" s="7" t="str">
        <f>IFERROR(INDEX(Task!$A:$A,MATCH(TRIM(SUBSTITUTE(B170," CFST","")),Task!$G:$G,0)),"")</f>
        <v>1.529</v>
      </c>
      <c r="N170" s="7" t="str">
        <f>IF(M170="","",IFERROR(INDEX(Orca!$B:$B,MATCH(--M170,Orca!$A:$A,0)),""))</f>
        <v>O</v>
      </c>
    </row>
    <row r="171" spans="1:14" ht="15" customHeight="1" x14ac:dyDescent="0.2">
      <c r="A171" s="10">
        <v>166</v>
      </c>
      <c r="B171" s="11" t="s">
        <v>515</v>
      </c>
      <c r="C171" s="10" t="s">
        <v>516</v>
      </c>
      <c r="D171" s="10" t="s">
        <v>517</v>
      </c>
      <c r="E171" s="10">
        <v>4</v>
      </c>
      <c r="F171" s="10">
        <v>1</v>
      </c>
      <c r="G171" s="10">
        <v>785</v>
      </c>
      <c r="H171" s="12">
        <v>2261</v>
      </c>
      <c r="I171" s="10"/>
      <c r="J171" s="10"/>
      <c r="K171" s="10"/>
      <c r="L171" s="10"/>
      <c r="M171" s="10" t="str">
        <f>IFERROR(INDEX(Task!$A:$A,MATCH(TRIM(SUBSTITUTE(B171," CFST","")),Task!$G:$G,0)),"")</f>
        <v>1.512</v>
      </c>
      <c r="N171" s="7" t="str">
        <f>IF(M171="","",IFERROR(INDEX(Orca!$B:$B,MATCH(--M171,Orca!$A:$A,0)),""))</f>
        <v>O</v>
      </c>
    </row>
    <row r="172" spans="1:14" ht="15" customHeight="1" x14ac:dyDescent="0.2">
      <c r="A172" s="7">
        <v>167</v>
      </c>
      <c r="B172" s="8" t="s">
        <v>518</v>
      </c>
      <c r="C172" s="7" t="s">
        <v>519</v>
      </c>
      <c r="D172" s="7" t="s">
        <v>520</v>
      </c>
      <c r="E172" s="7">
        <v>4</v>
      </c>
      <c r="F172" s="7">
        <v>2</v>
      </c>
      <c r="G172" s="7">
        <v>790</v>
      </c>
      <c r="H172" s="9">
        <v>2359</v>
      </c>
      <c r="I172" s="7"/>
      <c r="J172" s="7"/>
      <c r="K172" s="7"/>
      <c r="L172" s="7"/>
      <c r="M172" s="7" t="str">
        <f>IFERROR(INDEX(Task!$A:$A,MATCH(TRIM(SUBSTITUTE(B172," CFST","")),Task!$G:$G,0)),"")</f>
        <v>1.656</v>
      </c>
      <c r="N172" s="7" t="str">
        <f>IF(M172="","",IFERROR(INDEX(Orca!$B:$B,MATCH(--M172,Orca!$A:$A,0)),""))</f>
        <v>O</v>
      </c>
    </row>
    <row r="173" spans="1:14" ht="15" customHeight="1" x14ac:dyDescent="0.2">
      <c r="A173" s="10">
        <v>168</v>
      </c>
      <c r="B173" s="11" t="s">
        <v>521</v>
      </c>
      <c r="C173" s="10" t="s">
        <v>522</v>
      </c>
      <c r="D173" s="10" t="s">
        <v>523</v>
      </c>
      <c r="E173" s="10">
        <v>4</v>
      </c>
      <c r="F173" s="10">
        <v>3</v>
      </c>
      <c r="G173" s="10">
        <v>795</v>
      </c>
      <c r="H173" s="12">
        <v>2743</v>
      </c>
      <c r="I173" s="10"/>
      <c r="J173" s="10"/>
      <c r="K173" s="10"/>
      <c r="L173" s="10"/>
      <c r="M173" s="10" t="str">
        <f>IFERROR(INDEX(Task!$A:$A,MATCH(TRIM(SUBSTITUTE(B173," CFST","")),Task!$G:$G,0)),"")</f>
        <v>1.541</v>
      </c>
      <c r="N173" s="7" t="str">
        <f>IF(M173="","",IFERROR(INDEX(Orca!$B:$B,MATCH(--M173,Orca!$A:$A,0)),""))</f>
        <v>O</v>
      </c>
    </row>
    <row r="174" spans="1:14" ht="15" customHeight="1" x14ac:dyDescent="0.2">
      <c r="A174" s="7">
        <v>169</v>
      </c>
      <c r="B174" s="8" t="s">
        <v>524</v>
      </c>
      <c r="C174" s="7" t="s">
        <v>525</v>
      </c>
      <c r="D174" s="7" t="s">
        <v>526</v>
      </c>
      <c r="E174" s="7">
        <v>4</v>
      </c>
      <c r="F174" s="7">
        <v>4</v>
      </c>
      <c r="G174" s="7">
        <v>800</v>
      </c>
      <c r="H174" s="9">
        <v>2667</v>
      </c>
      <c r="I174" s="7"/>
      <c r="J174" s="7"/>
      <c r="K174" s="7"/>
      <c r="L174" s="7"/>
      <c r="M174" s="7" t="str">
        <f>IFERROR(INDEX(Task!$A:$A,MATCH(TRIM(SUBSTITUTE(B174," CFST","")),Task!$G:$G,0)),"")</f>
        <v>1.615</v>
      </c>
      <c r="N174" s="7" t="str">
        <f>IF(M174="","",IFERROR(INDEX(Orca!$B:$B,MATCH(--M174,Orca!$A:$A,0)),""))</f>
        <v>C</v>
      </c>
    </row>
    <row r="175" spans="1:14" ht="15" customHeight="1" x14ac:dyDescent="0.2">
      <c r="A175" s="10">
        <v>170</v>
      </c>
      <c r="B175" s="11" t="s">
        <v>527</v>
      </c>
      <c r="C175" s="10" t="s">
        <v>528</v>
      </c>
      <c r="D175" s="10" t="s">
        <v>529</v>
      </c>
      <c r="E175" s="10">
        <v>4</v>
      </c>
      <c r="F175" s="10">
        <v>1</v>
      </c>
      <c r="G175" s="10">
        <v>801</v>
      </c>
      <c r="H175" s="12">
        <v>2317</v>
      </c>
      <c r="I175" s="10"/>
      <c r="J175" s="10"/>
      <c r="K175" s="10"/>
      <c r="L175" s="10"/>
      <c r="M175" s="10" t="str">
        <f>IFERROR(INDEX(Task!$A:$A,MATCH(TRIM(SUBSTITUTE(B175," CFST","")),Task!$G:$G,0)),"")</f>
        <v>1.641</v>
      </c>
      <c r="N175" s="7" t="str">
        <f>IF(M175="","",IFERROR(INDEX(Orca!$B:$B,MATCH(--M175,Orca!$A:$A,0)),""))</f>
        <v>C</v>
      </c>
    </row>
    <row r="176" spans="1:14" ht="15" customHeight="1" x14ac:dyDescent="0.2">
      <c r="A176" s="7">
        <v>171</v>
      </c>
      <c r="B176" s="8" t="s">
        <v>530</v>
      </c>
      <c r="C176" s="7" t="s">
        <v>531</v>
      </c>
      <c r="D176" s="7" t="s">
        <v>532</v>
      </c>
      <c r="E176" s="7">
        <v>4</v>
      </c>
      <c r="F176" s="7">
        <v>2</v>
      </c>
      <c r="G176" s="7">
        <v>806</v>
      </c>
      <c r="H176" s="9">
        <v>2216</v>
      </c>
      <c r="I176" s="7"/>
      <c r="J176" s="7"/>
      <c r="K176" s="7"/>
      <c r="L176" s="7"/>
      <c r="M176" s="7" t="str">
        <f>IFERROR(INDEX(Task!$A:$A,MATCH(TRIM(SUBSTITUTE(B176," CFST","")),Task!$G:$G,0)),"")</f>
        <v>1.480</v>
      </c>
      <c r="N176" s="7" t="str">
        <f>IF(M176="","",IFERROR(INDEX(Orca!$B:$B,MATCH(--M176,Orca!$A:$A,0)),""))</f>
        <v>C</v>
      </c>
    </row>
    <row r="177" spans="1:14" ht="15" customHeight="1" x14ac:dyDescent="0.2">
      <c r="A177" s="10">
        <v>172</v>
      </c>
      <c r="B177" s="11" t="s">
        <v>533</v>
      </c>
      <c r="C177" s="10" t="s">
        <v>534</v>
      </c>
      <c r="D177" s="10" t="s">
        <v>535</v>
      </c>
      <c r="E177" s="10">
        <v>4</v>
      </c>
      <c r="F177" s="10">
        <v>3</v>
      </c>
      <c r="G177" s="10">
        <v>811</v>
      </c>
      <c r="H177" s="12">
        <v>2148</v>
      </c>
      <c r="I177" s="10"/>
      <c r="J177" s="10"/>
      <c r="K177" s="10"/>
      <c r="L177" s="10"/>
      <c r="M177" s="10" t="str">
        <f>IFERROR(INDEX(Task!$A:$A,MATCH(TRIM(SUBSTITUTE(B177," CFST","")),Task!$G:$G,0)),"")</f>
        <v>1.501</v>
      </c>
      <c r="N177" s="7" t="str">
        <f>IF(M177="","",IFERROR(INDEX(Orca!$B:$B,MATCH(--M177,Orca!$A:$A,0)),""))</f>
        <v>C</v>
      </c>
    </row>
    <row r="178" spans="1:14" ht="15" customHeight="1" x14ac:dyDescent="0.2">
      <c r="A178" s="7">
        <v>173</v>
      </c>
      <c r="B178" s="8" t="s">
        <v>536</v>
      </c>
      <c r="C178" s="7" t="s">
        <v>537</v>
      </c>
      <c r="D178" s="7" t="s">
        <v>538</v>
      </c>
      <c r="E178" s="7">
        <v>4</v>
      </c>
      <c r="F178" s="7">
        <v>4</v>
      </c>
      <c r="G178" s="7">
        <v>816</v>
      </c>
      <c r="H178" s="9">
        <v>2086</v>
      </c>
      <c r="I178" s="7"/>
      <c r="J178" s="7"/>
      <c r="K178" s="7"/>
      <c r="L178" s="7"/>
      <c r="M178" s="7" t="str">
        <f>IFERROR(INDEX(Task!$A:$A,MATCH(TRIM(SUBSTITUTE(B178," CFST","")),Task!$G:$G,0)),"")</f>
        <v>1.619</v>
      </c>
      <c r="N178" s="7" t="str">
        <f>IF(M178="","",IFERROR(INDEX(Orca!$B:$B,MATCH(--M178,Orca!$A:$A,0)),""))</f>
        <v>C</v>
      </c>
    </row>
    <row r="179" spans="1:14" ht="15" customHeight="1" x14ac:dyDescent="0.2">
      <c r="A179" s="10">
        <v>174</v>
      </c>
      <c r="B179" s="11" t="s">
        <v>539</v>
      </c>
      <c r="C179" s="10" t="s">
        <v>540</v>
      </c>
      <c r="D179" s="10" t="s">
        <v>541</v>
      </c>
      <c r="E179" s="10">
        <v>4</v>
      </c>
      <c r="F179" s="10">
        <v>1</v>
      </c>
      <c r="G179" s="10">
        <v>817</v>
      </c>
      <c r="H179" s="12">
        <v>1926</v>
      </c>
      <c r="I179" s="10"/>
      <c r="J179" s="10"/>
      <c r="K179" s="10"/>
      <c r="L179" s="10"/>
      <c r="M179" s="10" t="str">
        <f>IFERROR(INDEX(Task!$A:$A,MATCH(TRIM(SUBSTITUTE(B179," CFST","")),Task!$G:$G,0)),"")</f>
        <v>1.599</v>
      </c>
      <c r="N179" s="7" t="str">
        <f>IF(M179="","",IFERROR(INDEX(Orca!$B:$B,MATCH(--M179,Orca!$A:$A,0)),""))</f>
        <v>C</v>
      </c>
    </row>
    <row r="180" spans="1:14" ht="15" customHeight="1" x14ac:dyDescent="0.2">
      <c r="A180" s="7">
        <v>175</v>
      </c>
      <c r="B180" s="8" t="s">
        <v>542</v>
      </c>
      <c r="C180" s="7" t="s">
        <v>543</v>
      </c>
      <c r="D180" s="7" t="s">
        <v>544</v>
      </c>
      <c r="E180" s="7">
        <v>4</v>
      </c>
      <c r="F180" s="7">
        <v>2</v>
      </c>
      <c r="G180" s="7">
        <v>822</v>
      </c>
      <c r="H180" s="9">
        <v>1631</v>
      </c>
      <c r="I180" s="7"/>
      <c r="J180" s="7"/>
      <c r="K180" s="7"/>
      <c r="L180" s="7"/>
      <c r="M180" s="7" t="str">
        <f>IFERROR(INDEX(Task!$A:$A,MATCH(TRIM(SUBSTITUTE(B180," CFST","")),Task!$G:$G,0)),"")</f>
        <v>1.511</v>
      </c>
      <c r="N180" s="7" t="str">
        <f>IF(M180="","",IFERROR(INDEX(Orca!$B:$B,MATCH(--M180,Orca!$A:$A,0)),""))</f>
        <v>O</v>
      </c>
    </row>
    <row r="181" spans="1:14" ht="15" customHeight="1" x14ac:dyDescent="0.2">
      <c r="A181" s="10">
        <v>176</v>
      </c>
      <c r="B181" s="11" t="s">
        <v>545</v>
      </c>
      <c r="C181" s="10" t="s">
        <v>546</v>
      </c>
      <c r="D181" s="10" t="s">
        <v>547</v>
      </c>
      <c r="E181" s="10">
        <v>4</v>
      </c>
      <c r="F181" s="10">
        <v>3</v>
      </c>
      <c r="G181" s="10">
        <v>827</v>
      </c>
      <c r="H181" s="12">
        <v>1579</v>
      </c>
      <c r="I181" s="10"/>
      <c r="J181" s="10"/>
      <c r="K181" s="10"/>
      <c r="L181" s="10"/>
      <c r="M181" s="10" t="str">
        <f>IFERROR(INDEX(Task!$A:$A,MATCH(TRIM(SUBSTITUTE(B181," CFST","")),Task!$G:$G,0)),"")</f>
        <v>1.554</v>
      </c>
      <c r="N181" s="7" t="str">
        <f>IF(M181="","",IFERROR(INDEX(Orca!$B:$B,MATCH(--M181,Orca!$A:$A,0)),""))</f>
        <v>C</v>
      </c>
    </row>
    <row r="182" spans="1:14" ht="15" customHeight="1" x14ac:dyDescent="0.2">
      <c r="A182" s="7">
        <v>177</v>
      </c>
      <c r="B182" s="8" t="s">
        <v>548</v>
      </c>
      <c r="C182" s="7" t="s">
        <v>549</v>
      </c>
      <c r="D182" s="7" t="s">
        <v>550</v>
      </c>
      <c r="E182" s="7">
        <v>2</v>
      </c>
      <c r="F182" s="7">
        <v>2</v>
      </c>
      <c r="G182" s="7">
        <v>829</v>
      </c>
      <c r="H182" s="9">
        <v>1567</v>
      </c>
      <c r="I182" s="7"/>
      <c r="J182" s="7"/>
      <c r="K182" s="7"/>
      <c r="L182" s="7"/>
      <c r="M182" s="7" t="str">
        <f>IFERROR(INDEX(Task!$A:$A,MATCH(TRIM(SUBSTITUTE(B182," CFST","")),Task!$G:$G,0)),"")</f>
        <v>1.586</v>
      </c>
      <c r="N182" s="7" t="str">
        <f>IF(M182="","",IFERROR(INDEX(Orca!$B:$B,MATCH(--M182,Orca!$A:$A,0)),""))</f>
        <v>C</v>
      </c>
    </row>
    <row r="183" spans="1:14" ht="15" customHeight="1" x14ac:dyDescent="0.2">
      <c r="A183" s="10">
        <v>178</v>
      </c>
      <c r="B183" s="11" t="s">
        <v>551</v>
      </c>
      <c r="C183" s="10" t="s">
        <v>552</v>
      </c>
      <c r="D183" s="10" t="s">
        <v>553</v>
      </c>
      <c r="E183" s="10">
        <v>2</v>
      </c>
      <c r="F183" s="10">
        <v>3</v>
      </c>
      <c r="G183" s="10">
        <v>832</v>
      </c>
      <c r="H183" s="12">
        <v>1339</v>
      </c>
      <c r="I183" s="10"/>
      <c r="J183" s="10"/>
      <c r="K183" s="10"/>
      <c r="L183" s="10"/>
      <c r="M183" s="10" t="str">
        <f>IFERROR(INDEX(Task!$A:$A,MATCH(TRIM(SUBSTITUTE(B183," CFST","")),Task!$G:$G,0)),"")</f>
        <v>1.628</v>
      </c>
      <c r="N183" s="7" t="str">
        <f>IF(M183="","",IFERROR(INDEX(Orca!$B:$B,MATCH(--M183,Orca!$A:$A,0)),""))</f>
        <v>O</v>
      </c>
    </row>
    <row r="184" spans="1:14" ht="15" customHeight="1" x14ac:dyDescent="0.2">
      <c r="A184" s="7">
        <v>179</v>
      </c>
      <c r="B184" s="8" t="s">
        <v>554</v>
      </c>
      <c r="C184" s="7" t="s">
        <v>555</v>
      </c>
      <c r="D184" s="7" t="s">
        <v>556</v>
      </c>
      <c r="E184" s="7">
        <v>2</v>
      </c>
      <c r="F184" s="7">
        <v>2</v>
      </c>
      <c r="G184" s="7">
        <v>833</v>
      </c>
      <c r="H184" s="9">
        <v>1128</v>
      </c>
      <c r="I184" s="7"/>
      <c r="J184" s="7"/>
      <c r="K184" s="7"/>
      <c r="L184" s="7"/>
      <c r="M184" s="7" t="str">
        <f>IFERROR(INDEX(Task!$A:$A,MATCH(TRIM(SUBSTITUTE(B184," CFST","")),Task!$G:$G,0)),"")</f>
        <v>1.485</v>
      </c>
      <c r="N184" s="7" t="str">
        <f>IF(M184="","",IFERROR(INDEX(Orca!$B:$B,MATCH(--M184,Orca!$A:$A,0)),""))</f>
        <v>C</v>
      </c>
    </row>
    <row r="185" spans="1:14" ht="15" customHeight="1" x14ac:dyDescent="0.2">
      <c r="A185" s="10">
        <v>180</v>
      </c>
      <c r="B185" s="11" t="s">
        <v>557</v>
      </c>
      <c r="C185" s="10" t="s">
        <v>558</v>
      </c>
      <c r="D185" s="10" t="s">
        <v>559</v>
      </c>
      <c r="E185" s="10">
        <v>2</v>
      </c>
      <c r="F185" s="10">
        <v>3</v>
      </c>
      <c r="G185" s="10">
        <v>836</v>
      </c>
      <c r="H185" s="12">
        <v>1416</v>
      </c>
      <c r="I185" s="10"/>
      <c r="J185" s="10"/>
      <c r="K185" s="10"/>
      <c r="L185" s="10"/>
      <c r="M185" s="10" t="str">
        <f>IFERROR(INDEX(Task!$A:$A,MATCH(TRIM(SUBSTITUTE(B185," CFST","")),Task!$G:$G,0)),"")</f>
        <v>1.488</v>
      </c>
      <c r="N185" s="7" t="str">
        <f>IF(M185="","",IFERROR(INDEX(Orca!$B:$B,MATCH(--M185,Orca!$A:$A,0)),""))</f>
        <v>C</v>
      </c>
    </row>
    <row r="186" spans="1:14" ht="15" customHeight="1" x14ac:dyDescent="0.2">
      <c r="A186" s="7">
        <v>181</v>
      </c>
      <c r="B186" s="8" t="s">
        <v>560</v>
      </c>
      <c r="C186" s="7" t="s">
        <v>561</v>
      </c>
      <c r="D186" s="7" t="s">
        <v>562</v>
      </c>
      <c r="E186" s="7">
        <v>4</v>
      </c>
      <c r="F186" s="7">
        <v>4</v>
      </c>
      <c r="G186" s="7">
        <v>840</v>
      </c>
      <c r="H186" s="9">
        <v>1500</v>
      </c>
      <c r="I186" s="7"/>
      <c r="J186" s="7"/>
      <c r="K186" s="7"/>
      <c r="L186" s="7"/>
      <c r="M186" s="7" t="str">
        <f>IFERROR(INDEX(Task!$A:$A,MATCH(TRIM(SUBSTITUTE(B186," CFST","")),Task!$G:$G,0)),"")</f>
        <v>1.559</v>
      </c>
      <c r="N186" s="7" t="str">
        <f>IF(M186="","",IFERROR(INDEX(Orca!$B:$B,MATCH(--M186,Orca!$A:$A,0)),""))</f>
        <v>C</v>
      </c>
    </row>
    <row r="187" spans="1:14" ht="15" customHeight="1" x14ac:dyDescent="0.2">
      <c r="A187" s="10">
        <v>182</v>
      </c>
      <c r="B187" s="11" t="s">
        <v>563</v>
      </c>
      <c r="C187" s="10" t="s">
        <v>564</v>
      </c>
      <c r="D187" s="10" t="s">
        <v>565</v>
      </c>
      <c r="E187" s="10">
        <v>4</v>
      </c>
      <c r="F187" s="10">
        <v>1</v>
      </c>
      <c r="G187" s="10">
        <v>841</v>
      </c>
      <c r="H187" s="12">
        <v>1665</v>
      </c>
      <c r="I187" s="10"/>
      <c r="J187" s="10"/>
      <c r="K187" s="10"/>
      <c r="L187" s="10"/>
      <c r="M187" s="10" t="str">
        <f>IFERROR(INDEX(Task!$A:$A,MATCH(TRIM(SUBSTITUTE(B187," CFST","")),Task!$G:$G,0)),"")</f>
        <v>1.659</v>
      </c>
      <c r="N187" s="7" t="str">
        <f>IF(M187="","",IFERROR(INDEX(Orca!$B:$B,MATCH(--M187,Orca!$A:$A,0)),""))</f>
        <v>C</v>
      </c>
    </row>
    <row r="188" spans="1:14" ht="15" customHeight="1" x14ac:dyDescent="0.2">
      <c r="A188" s="7">
        <v>183</v>
      </c>
      <c r="B188" s="8" t="s">
        <v>566</v>
      </c>
      <c r="C188" s="7" t="s">
        <v>567</v>
      </c>
      <c r="D188" s="7" t="s">
        <v>568</v>
      </c>
      <c r="E188" s="7">
        <v>4</v>
      </c>
      <c r="F188" s="7">
        <v>2</v>
      </c>
      <c r="G188" s="7">
        <v>846</v>
      </c>
      <c r="H188" s="9">
        <v>1922</v>
      </c>
      <c r="I188" s="7"/>
      <c r="J188" s="7"/>
      <c r="K188" s="7"/>
      <c r="L188" s="7"/>
      <c r="M188" s="7" t="str">
        <f>IFERROR(INDEX(Task!$A:$A,MATCH(TRIM(SUBSTITUTE(B188," CFST","")),Task!$G:$G,0)),"")</f>
        <v>1.528</v>
      </c>
      <c r="N188" s="7" t="str">
        <f>IF(M188="","",IFERROR(INDEX(Orca!$B:$B,MATCH(--M188,Orca!$A:$A,0)),""))</f>
        <v>C</v>
      </c>
    </row>
    <row r="189" spans="1:14" ht="15" customHeight="1" x14ac:dyDescent="0.2">
      <c r="A189" s="10">
        <v>184</v>
      </c>
      <c r="B189" s="11" t="s">
        <v>569</v>
      </c>
      <c r="C189" s="10" t="s">
        <v>570</v>
      </c>
      <c r="D189" s="10" t="s">
        <v>571</v>
      </c>
      <c r="E189" s="10">
        <v>2</v>
      </c>
      <c r="F189" s="10">
        <v>3</v>
      </c>
      <c r="G189" s="10">
        <v>850</v>
      </c>
      <c r="H189" s="12">
        <v>2031</v>
      </c>
      <c r="I189" s="10"/>
      <c r="J189" s="10"/>
      <c r="K189" s="10"/>
      <c r="L189" s="10"/>
      <c r="M189" s="10" t="str">
        <f>IFERROR(INDEX(Task!$A:$A,MATCH(TRIM(SUBSTITUTE(B189," CFST","")),Task!$G:$G,0)),"")</f>
        <v>1.483</v>
      </c>
      <c r="N189" s="7" t="str">
        <f>IF(M189="","",IFERROR(INDEX(Orca!$B:$B,MATCH(--M189,Orca!$A:$A,0)),""))</f>
        <v>C</v>
      </c>
    </row>
    <row r="190" spans="1:14" ht="15" customHeight="1" x14ac:dyDescent="0.2">
      <c r="A190" s="7">
        <v>185</v>
      </c>
      <c r="B190" s="8" t="s">
        <v>572</v>
      </c>
      <c r="C190" s="7" t="s">
        <v>573</v>
      </c>
      <c r="D190" s="7" t="s">
        <v>574</v>
      </c>
      <c r="E190" s="7">
        <v>2</v>
      </c>
      <c r="F190" s="7">
        <v>2</v>
      </c>
      <c r="G190" s="7">
        <v>851</v>
      </c>
      <c r="H190" s="9">
        <v>1784</v>
      </c>
      <c r="I190" s="7"/>
      <c r="J190" s="7"/>
      <c r="K190" s="7"/>
      <c r="L190" s="7"/>
      <c r="M190" s="7" t="str">
        <f>IFERROR(INDEX(Task!$A:$A,MATCH(TRIM(SUBSTITUTE(B190," CFST","")),Task!$G:$G,0)),"")</f>
        <v>1.647</v>
      </c>
      <c r="N190" s="7" t="str">
        <f>IF(M190="","",IFERROR(INDEX(Orca!$B:$B,MATCH(--M190,Orca!$A:$A,0)),""))</f>
        <v>C</v>
      </c>
    </row>
    <row r="191" spans="1:14" ht="15" customHeight="1" x14ac:dyDescent="0.2">
      <c r="A191" s="10">
        <v>186</v>
      </c>
      <c r="B191" s="11" t="s">
        <v>575</v>
      </c>
      <c r="C191" s="10" t="s">
        <v>576</v>
      </c>
      <c r="D191" s="10" t="s">
        <v>577</v>
      </c>
      <c r="E191" s="10">
        <v>4</v>
      </c>
      <c r="F191" s="10">
        <v>3</v>
      </c>
      <c r="G191" s="10">
        <v>855</v>
      </c>
      <c r="H191" s="12">
        <v>1804</v>
      </c>
      <c r="I191" s="10"/>
      <c r="J191" s="10"/>
      <c r="K191" s="10"/>
      <c r="L191" s="10"/>
      <c r="M191" s="10" t="str">
        <f>IFERROR(INDEX(Task!$A:$A,MATCH(TRIM(SUBSTITUTE(B191," CFST","")),Task!$G:$G,0)),"")</f>
        <v>1.634</v>
      </c>
      <c r="N191" s="7" t="str">
        <f>IF(M191="","",IFERROR(INDEX(Orca!$B:$B,MATCH(--M191,Orca!$A:$A,0)),""))</f>
        <v>C</v>
      </c>
    </row>
    <row r="192" spans="1:14" ht="15" customHeight="1" x14ac:dyDescent="0.2">
      <c r="A192" s="7">
        <v>187</v>
      </c>
      <c r="B192" s="8" t="s">
        <v>578</v>
      </c>
      <c r="C192" s="7" t="s">
        <v>579</v>
      </c>
      <c r="D192" s="7" t="s">
        <v>580</v>
      </c>
      <c r="E192" s="7">
        <v>4</v>
      </c>
      <c r="F192" s="7">
        <v>4</v>
      </c>
      <c r="G192" s="7">
        <v>860</v>
      </c>
      <c r="H192" s="9">
        <v>1685</v>
      </c>
      <c r="I192" s="7"/>
      <c r="J192" s="7"/>
      <c r="K192" s="7"/>
      <c r="L192" s="7"/>
      <c r="M192" s="7" t="str">
        <f>IFERROR(INDEX(Task!$A:$A,MATCH(TRIM(SUBSTITUTE(B192," CFST","")),Task!$G:$G,0)),"")</f>
        <v>1.594</v>
      </c>
      <c r="N192" s="7" t="str">
        <f>IF(M192="","",IFERROR(INDEX(Orca!$B:$B,MATCH(--M192,Orca!$A:$A,0)),""))</f>
        <v>C</v>
      </c>
    </row>
    <row r="193" spans="1:14" ht="15" customHeight="1" x14ac:dyDescent="0.2">
      <c r="A193" s="10">
        <v>188</v>
      </c>
      <c r="B193" s="11" t="s">
        <v>581</v>
      </c>
      <c r="C193" s="10" t="s">
        <v>582</v>
      </c>
      <c r="D193" s="10" t="s">
        <v>583</v>
      </c>
      <c r="E193" s="10">
        <v>4</v>
      </c>
      <c r="F193" s="10">
        <v>1</v>
      </c>
      <c r="G193" s="10">
        <v>861</v>
      </c>
      <c r="H193" s="12">
        <v>1387</v>
      </c>
      <c r="I193" s="10"/>
      <c r="J193" s="10"/>
      <c r="K193" s="10"/>
      <c r="L193" s="10"/>
      <c r="M193" s="10" t="str">
        <f>IFERROR(INDEX(Task!$A:$A,MATCH(TRIM(SUBSTITUTE(B193," CFST","")),Task!$G:$G,0)),"")</f>
        <v>1.510</v>
      </c>
      <c r="N193" s="7" t="str">
        <f>IF(M193="","",IFERROR(INDEX(Orca!$B:$B,MATCH(--M193,Orca!$A:$A,0)),""))</f>
        <v>C</v>
      </c>
    </row>
  </sheetData>
  <autoFilter ref="A5:N193" xr:uid="{00000000-0009-0000-0000-000000000000}">
    <sortState xmlns:xlrd2="http://schemas.microsoft.com/office/spreadsheetml/2017/richdata2" ref="A6:N193">
      <sortCondition ref="A5:A193"/>
    </sortState>
  </autoFilter>
  <mergeCells count="6">
    <mergeCell ref="L1:M1"/>
    <mergeCell ref="A2:C2"/>
    <mergeCell ref="D2:G2"/>
    <mergeCell ref="H2:K2"/>
    <mergeCell ref="A3:F3"/>
    <mergeCell ref="G3:M3"/>
  </mergeCells>
  <conditionalFormatting sqref="A6:N193">
    <cfRule type="expression" dxfId="1" priority="2">
      <formula>$N6="O"</formula>
    </cfRule>
    <cfRule type="expression" dxfId="0" priority="3">
      <formula>$N6="C"</formula>
    </cfRule>
  </conditionalFormatting>
  <printOptions horizontalCentered="1"/>
  <pageMargins left="0.4" right="0.4" top="0.5" bottom="0.5" header="0.511811023622047" footer="0.3"/>
  <pageSetup fitToHeight="0" orientation="landscape" horizontalDpi="300" verticalDpi="300"/>
  <headerFooter>
    <oddFooter>&amp;CPage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1"/>
  <sheetViews>
    <sheetView zoomScaleNormal="100" workbookViewId="0">
      <pane ySplit="1" topLeftCell="A2" activePane="bottomLeft" state="frozen"/>
      <selection pane="bottomLeft" activeCell="H19" sqref="H19"/>
    </sheetView>
  </sheetViews>
  <sheetFormatPr defaultColWidth="8.7421875" defaultRowHeight="15" x14ac:dyDescent="0.2"/>
  <cols>
    <col min="5" max="5" width="18.6953125" style="3" customWidth="1"/>
    <col min="6" max="6" width="59.86328125" style="3" customWidth="1"/>
    <col min="7" max="7" width="27.7109375" style="3" customWidth="1"/>
    <col min="8" max="8" width="36.72265625" style="3" customWidth="1"/>
  </cols>
  <sheetData>
    <row r="1" spans="1:7" ht="15" customHeight="1" x14ac:dyDescent="0.2">
      <c r="A1" s="13" t="s">
        <v>584</v>
      </c>
      <c r="B1" s="13" t="s">
        <v>585</v>
      </c>
      <c r="C1" s="13" t="s">
        <v>586</v>
      </c>
      <c r="D1" s="13" t="s">
        <v>587</v>
      </c>
      <c r="E1" s="13" t="s">
        <v>588</v>
      </c>
      <c r="F1" s="13" t="s">
        <v>589</v>
      </c>
      <c r="G1" s="13" t="s">
        <v>590</v>
      </c>
    </row>
    <row r="2" spans="1:7" ht="15" customHeight="1" x14ac:dyDescent="0.2">
      <c r="A2" s="14" t="s">
        <v>591</v>
      </c>
      <c r="B2" s="3" t="s">
        <v>592</v>
      </c>
      <c r="C2" s="3" t="s">
        <v>593</v>
      </c>
      <c r="D2" s="3" t="s">
        <v>594</v>
      </c>
      <c r="E2" s="3" t="s">
        <v>595</v>
      </c>
      <c r="F2" s="3" t="s">
        <v>596</v>
      </c>
      <c r="G2" s="3" t="s">
        <v>597</v>
      </c>
    </row>
    <row r="3" spans="1:7" ht="15" customHeight="1" x14ac:dyDescent="0.2">
      <c r="A3" s="15" t="s">
        <v>598</v>
      </c>
      <c r="B3" s="3" t="s">
        <v>592</v>
      </c>
      <c r="C3" s="3" t="s">
        <v>593</v>
      </c>
      <c r="D3" s="3" t="s">
        <v>594</v>
      </c>
      <c r="E3" s="3" t="s">
        <v>595</v>
      </c>
      <c r="F3" s="3" t="s">
        <v>599</v>
      </c>
      <c r="G3" s="3" t="s">
        <v>600</v>
      </c>
    </row>
    <row r="4" spans="1:7" ht="15" customHeight="1" x14ac:dyDescent="0.2">
      <c r="A4" s="15" t="s">
        <v>601</v>
      </c>
      <c r="B4" s="3" t="s">
        <v>592</v>
      </c>
      <c r="C4" s="3" t="s">
        <v>593</v>
      </c>
      <c r="D4" s="3" t="s">
        <v>594</v>
      </c>
      <c r="E4" s="3" t="s">
        <v>595</v>
      </c>
      <c r="F4" s="3" t="s">
        <v>602</v>
      </c>
      <c r="G4" s="3" t="s">
        <v>603</v>
      </c>
    </row>
    <row r="5" spans="1:7" ht="15" customHeight="1" x14ac:dyDescent="0.2">
      <c r="A5" s="15" t="s">
        <v>604</v>
      </c>
      <c r="B5" s="3" t="s">
        <v>592</v>
      </c>
      <c r="C5" s="3" t="s">
        <v>593</v>
      </c>
      <c r="D5" s="3" t="s">
        <v>594</v>
      </c>
      <c r="E5" s="3" t="s">
        <v>595</v>
      </c>
      <c r="F5" s="3" t="s">
        <v>605</v>
      </c>
      <c r="G5" s="3" t="s">
        <v>606</v>
      </c>
    </row>
    <row r="6" spans="1:7" ht="15" customHeight="1" x14ac:dyDescent="0.2">
      <c r="A6" s="15" t="s">
        <v>607</v>
      </c>
      <c r="B6" s="3" t="s">
        <v>592</v>
      </c>
      <c r="C6" s="3" t="s">
        <v>593</v>
      </c>
      <c r="D6" s="3" t="s">
        <v>594</v>
      </c>
      <c r="E6" s="3" t="s">
        <v>595</v>
      </c>
      <c r="F6" s="3" t="s">
        <v>608</v>
      </c>
      <c r="G6" s="3" t="s">
        <v>609</v>
      </c>
    </row>
    <row r="7" spans="1:7" ht="15" customHeight="1" x14ac:dyDescent="0.2">
      <c r="A7" s="15" t="s">
        <v>610</v>
      </c>
      <c r="B7" s="3" t="s">
        <v>592</v>
      </c>
      <c r="C7" s="3" t="s">
        <v>593</v>
      </c>
      <c r="D7" s="3" t="s">
        <v>594</v>
      </c>
      <c r="E7" s="3" t="s">
        <v>595</v>
      </c>
      <c r="F7" s="3" t="s">
        <v>611</v>
      </c>
      <c r="G7" s="3" t="s">
        <v>612</v>
      </c>
    </row>
    <row r="8" spans="1:7" ht="15" customHeight="1" x14ac:dyDescent="0.2">
      <c r="A8" s="15" t="s">
        <v>613</v>
      </c>
      <c r="B8" s="3" t="s">
        <v>592</v>
      </c>
      <c r="C8" s="3" t="s">
        <v>593</v>
      </c>
      <c r="D8" s="3" t="s">
        <v>594</v>
      </c>
      <c r="E8" s="3" t="s">
        <v>595</v>
      </c>
      <c r="F8" s="3" t="s">
        <v>614</v>
      </c>
      <c r="G8" s="3" t="s">
        <v>615</v>
      </c>
    </row>
    <row r="9" spans="1:7" ht="15" customHeight="1" x14ac:dyDescent="0.2">
      <c r="A9" s="15" t="s">
        <v>616</v>
      </c>
      <c r="B9" s="3" t="s">
        <v>592</v>
      </c>
      <c r="C9" s="3" t="s">
        <v>593</v>
      </c>
      <c r="D9" s="3" t="s">
        <v>594</v>
      </c>
      <c r="E9" s="3" t="s">
        <v>595</v>
      </c>
      <c r="F9" s="3" t="s">
        <v>617</v>
      </c>
      <c r="G9" s="3" t="s">
        <v>618</v>
      </c>
    </row>
    <row r="10" spans="1:7" ht="15" customHeight="1" x14ac:dyDescent="0.2">
      <c r="A10" s="15" t="s">
        <v>619</v>
      </c>
      <c r="B10" s="3" t="s">
        <v>592</v>
      </c>
      <c r="C10" s="3" t="s">
        <v>593</v>
      </c>
      <c r="D10" s="3" t="s">
        <v>594</v>
      </c>
      <c r="E10" s="3" t="s">
        <v>595</v>
      </c>
      <c r="F10" s="3" t="s">
        <v>620</v>
      </c>
      <c r="G10" s="3" t="s">
        <v>621</v>
      </c>
    </row>
    <row r="11" spans="1:7" ht="15" customHeight="1" x14ac:dyDescent="0.2">
      <c r="A11" s="15" t="s">
        <v>622</v>
      </c>
      <c r="B11" s="3" t="s">
        <v>592</v>
      </c>
      <c r="C11" s="3" t="s">
        <v>593</v>
      </c>
      <c r="D11" s="3" t="s">
        <v>594</v>
      </c>
      <c r="E11" s="3" t="s">
        <v>595</v>
      </c>
      <c r="F11" s="3" t="s">
        <v>623</v>
      </c>
      <c r="G11" s="3" t="s">
        <v>624</v>
      </c>
    </row>
    <row r="12" spans="1:7" ht="15" customHeight="1" x14ac:dyDescent="0.2">
      <c r="A12" s="15" t="s">
        <v>625</v>
      </c>
      <c r="B12" s="3" t="s">
        <v>592</v>
      </c>
      <c r="C12" s="3" t="s">
        <v>593</v>
      </c>
      <c r="D12" s="3" t="s">
        <v>594</v>
      </c>
      <c r="E12" s="3" t="s">
        <v>595</v>
      </c>
      <c r="F12" s="3" t="s">
        <v>626</v>
      </c>
      <c r="G12" s="3" t="s">
        <v>627</v>
      </c>
    </row>
    <row r="13" spans="1:7" ht="15" customHeight="1" x14ac:dyDescent="0.2">
      <c r="A13" s="15" t="s">
        <v>628</v>
      </c>
      <c r="B13" s="3" t="s">
        <v>592</v>
      </c>
      <c r="C13" s="3" t="s">
        <v>593</v>
      </c>
      <c r="D13" s="3" t="s">
        <v>594</v>
      </c>
      <c r="E13" s="3" t="s">
        <v>595</v>
      </c>
      <c r="F13" s="3" t="s">
        <v>629</v>
      </c>
      <c r="G13" s="3" t="s">
        <v>630</v>
      </c>
    </row>
    <row r="14" spans="1:7" ht="15" customHeight="1" x14ac:dyDescent="0.2">
      <c r="A14" s="15" t="s">
        <v>631</v>
      </c>
      <c r="B14" s="3" t="s">
        <v>592</v>
      </c>
      <c r="C14" s="3" t="s">
        <v>593</v>
      </c>
      <c r="D14" s="3" t="s">
        <v>594</v>
      </c>
      <c r="E14" s="3" t="s">
        <v>595</v>
      </c>
      <c r="F14" s="3" t="s">
        <v>632</v>
      </c>
      <c r="G14" s="3" t="s">
        <v>633</v>
      </c>
    </row>
    <row r="15" spans="1:7" ht="15" customHeight="1" x14ac:dyDescent="0.2">
      <c r="A15" s="15" t="s">
        <v>634</v>
      </c>
      <c r="B15" s="3" t="s">
        <v>592</v>
      </c>
      <c r="C15" s="3" t="s">
        <v>593</v>
      </c>
      <c r="D15" s="3" t="s">
        <v>594</v>
      </c>
      <c r="E15" s="3" t="s">
        <v>595</v>
      </c>
      <c r="F15" s="3" t="s">
        <v>635</v>
      </c>
      <c r="G15" s="3" t="s">
        <v>636</v>
      </c>
    </row>
    <row r="16" spans="1:7" ht="15" customHeight="1" x14ac:dyDescent="0.2">
      <c r="A16" s="15" t="s">
        <v>637</v>
      </c>
      <c r="B16" s="3" t="s">
        <v>592</v>
      </c>
      <c r="C16" s="3" t="s">
        <v>593</v>
      </c>
      <c r="D16" s="3" t="s">
        <v>594</v>
      </c>
      <c r="E16" s="3" t="s">
        <v>595</v>
      </c>
      <c r="F16" s="3" t="s">
        <v>638</v>
      </c>
      <c r="G16" s="3" t="s">
        <v>639</v>
      </c>
    </row>
    <row r="17" spans="1:7" ht="15" customHeight="1" x14ac:dyDescent="0.2">
      <c r="A17" s="14" t="s">
        <v>640</v>
      </c>
      <c r="B17" s="3" t="s">
        <v>592</v>
      </c>
      <c r="C17" s="3" t="s">
        <v>593</v>
      </c>
      <c r="D17" s="3" t="s">
        <v>594</v>
      </c>
      <c r="E17" s="3" t="s">
        <v>595</v>
      </c>
      <c r="F17" s="3" t="s">
        <v>641</v>
      </c>
      <c r="G17" s="3" t="s">
        <v>642</v>
      </c>
    </row>
    <row r="18" spans="1:7" ht="15" customHeight="1" x14ac:dyDescent="0.2">
      <c r="A18" s="16" t="s">
        <v>643</v>
      </c>
      <c r="B18" s="3" t="s">
        <v>592</v>
      </c>
      <c r="C18" s="3" t="s">
        <v>593</v>
      </c>
      <c r="D18" s="3" t="s">
        <v>594</v>
      </c>
      <c r="E18" s="3" t="s">
        <v>595</v>
      </c>
      <c r="F18" s="3" t="s">
        <v>644</v>
      </c>
      <c r="G18" s="3" t="s">
        <v>645</v>
      </c>
    </row>
    <row r="19" spans="1:7" ht="15" customHeight="1" x14ac:dyDescent="0.2">
      <c r="A19" s="15" t="s">
        <v>646</v>
      </c>
      <c r="B19" s="3" t="s">
        <v>592</v>
      </c>
      <c r="C19" s="3" t="s">
        <v>593</v>
      </c>
      <c r="D19" s="3" t="s">
        <v>594</v>
      </c>
      <c r="E19" s="3" t="s">
        <v>595</v>
      </c>
      <c r="F19" s="3" t="s">
        <v>647</v>
      </c>
      <c r="G19" s="3" t="s">
        <v>648</v>
      </c>
    </row>
    <row r="20" spans="1:7" ht="15" customHeight="1" x14ac:dyDescent="0.2">
      <c r="A20" s="15" t="s">
        <v>649</v>
      </c>
      <c r="B20" s="3" t="s">
        <v>592</v>
      </c>
      <c r="C20" s="3" t="s">
        <v>593</v>
      </c>
      <c r="D20" s="3" t="s">
        <v>594</v>
      </c>
      <c r="E20" s="3" t="s">
        <v>595</v>
      </c>
      <c r="F20" s="3" t="s">
        <v>650</v>
      </c>
      <c r="G20" s="3" t="s">
        <v>651</v>
      </c>
    </row>
    <row r="21" spans="1:7" ht="15" customHeight="1" x14ac:dyDescent="0.2">
      <c r="A21" s="15" t="s">
        <v>652</v>
      </c>
      <c r="B21" s="3" t="s">
        <v>592</v>
      </c>
      <c r="C21" s="3" t="s">
        <v>593</v>
      </c>
      <c r="D21" s="3" t="s">
        <v>594</v>
      </c>
      <c r="E21" s="3" t="s">
        <v>595</v>
      </c>
      <c r="F21" s="3" t="s">
        <v>653</v>
      </c>
      <c r="G21" s="3" t="s">
        <v>654</v>
      </c>
    </row>
    <row r="22" spans="1:7" ht="15" customHeight="1" x14ac:dyDescent="0.2">
      <c r="A22" s="15" t="s">
        <v>655</v>
      </c>
      <c r="B22" s="3" t="s">
        <v>592</v>
      </c>
      <c r="C22" s="3" t="s">
        <v>593</v>
      </c>
      <c r="D22" s="3" t="s">
        <v>594</v>
      </c>
      <c r="E22" s="3" t="s">
        <v>595</v>
      </c>
      <c r="F22" s="3" t="s">
        <v>656</v>
      </c>
      <c r="G22" s="3" t="s">
        <v>657</v>
      </c>
    </row>
    <row r="23" spans="1:7" ht="15" customHeight="1" x14ac:dyDescent="0.2">
      <c r="A23" s="15" t="s">
        <v>658</v>
      </c>
      <c r="B23" s="3" t="s">
        <v>592</v>
      </c>
      <c r="C23" s="3" t="s">
        <v>593</v>
      </c>
      <c r="D23" s="3" t="s">
        <v>594</v>
      </c>
      <c r="E23" s="3" t="s">
        <v>595</v>
      </c>
      <c r="F23" s="3" t="s">
        <v>659</v>
      </c>
      <c r="G23" s="3" t="s">
        <v>660</v>
      </c>
    </row>
    <row r="24" spans="1:7" ht="15" customHeight="1" x14ac:dyDescent="0.2">
      <c r="A24" s="15" t="s">
        <v>661</v>
      </c>
      <c r="B24" s="3" t="s">
        <v>592</v>
      </c>
      <c r="C24" s="3" t="s">
        <v>593</v>
      </c>
      <c r="D24" s="3" t="s">
        <v>594</v>
      </c>
      <c r="E24" s="3" t="s">
        <v>595</v>
      </c>
      <c r="F24" s="3" t="s">
        <v>662</v>
      </c>
      <c r="G24" s="3" t="s">
        <v>663</v>
      </c>
    </row>
    <row r="25" spans="1:7" ht="15" customHeight="1" x14ac:dyDescent="0.2">
      <c r="A25" s="14" t="s">
        <v>664</v>
      </c>
      <c r="B25" s="3" t="s">
        <v>592</v>
      </c>
      <c r="C25" s="3" t="s">
        <v>593</v>
      </c>
      <c r="D25" s="3" t="s">
        <v>594</v>
      </c>
      <c r="E25" s="3" t="s">
        <v>595</v>
      </c>
      <c r="F25" s="3" t="s">
        <v>665</v>
      </c>
      <c r="G25" s="3" t="s">
        <v>666</v>
      </c>
    </row>
    <row r="26" spans="1:7" ht="15" customHeight="1" x14ac:dyDescent="0.2">
      <c r="A26" s="15" t="s">
        <v>667</v>
      </c>
      <c r="B26" s="3" t="s">
        <v>592</v>
      </c>
      <c r="C26" s="3" t="s">
        <v>593</v>
      </c>
      <c r="D26" s="3" t="s">
        <v>594</v>
      </c>
      <c r="E26" s="3" t="s">
        <v>595</v>
      </c>
      <c r="F26" s="3" t="s">
        <v>668</v>
      </c>
      <c r="G26" s="3" t="s">
        <v>669</v>
      </c>
    </row>
    <row r="27" spans="1:7" ht="15" customHeight="1" x14ac:dyDescent="0.2">
      <c r="A27" s="15" t="s">
        <v>670</v>
      </c>
      <c r="B27" s="3" t="s">
        <v>592</v>
      </c>
      <c r="C27" s="3" t="s">
        <v>593</v>
      </c>
      <c r="D27" s="3" t="s">
        <v>594</v>
      </c>
      <c r="E27" s="3" t="s">
        <v>595</v>
      </c>
      <c r="F27" s="3" t="s">
        <v>671</v>
      </c>
      <c r="G27" s="3" t="s">
        <v>672</v>
      </c>
    </row>
    <row r="28" spans="1:7" ht="15" customHeight="1" x14ac:dyDescent="0.2">
      <c r="A28" s="15" t="s">
        <v>673</v>
      </c>
      <c r="B28" s="3" t="s">
        <v>592</v>
      </c>
      <c r="C28" s="3" t="s">
        <v>593</v>
      </c>
      <c r="D28" s="3" t="s">
        <v>594</v>
      </c>
      <c r="E28" s="3" t="s">
        <v>595</v>
      </c>
      <c r="F28" s="3" t="s">
        <v>674</v>
      </c>
      <c r="G28" s="3" t="s">
        <v>675</v>
      </c>
    </row>
    <row r="29" spans="1:7" ht="15" customHeight="1" x14ac:dyDescent="0.2">
      <c r="A29" s="15" t="s">
        <v>676</v>
      </c>
      <c r="B29" s="3" t="s">
        <v>592</v>
      </c>
      <c r="C29" s="3" t="s">
        <v>593</v>
      </c>
      <c r="D29" s="3" t="s">
        <v>594</v>
      </c>
      <c r="E29" s="3" t="s">
        <v>595</v>
      </c>
      <c r="F29" s="3" t="s">
        <v>677</v>
      </c>
      <c r="G29" s="3" t="s">
        <v>678</v>
      </c>
    </row>
    <row r="30" spans="1:7" ht="15" customHeight="1" x14ac:dyDescent="0.2">
      <c r="A30" s="15" t="s">
        <v>679</v>
      </c>
      <c r="B30" s="3" t="s">
        <v>592</v>
      </c>
      <c r="C30" s="3" t="s">
        <v>593</v>
      </c>
      <c r="D30" s="3" t="s">
        <v>594</v>
      </c>
      <c r="E30" s="3" t="s">
        <v>595</v>
      </c>
      <c r="F30" s="3" t="s">
        <v>680</v>
      </c>
      <c r="G30" s="3" t="s">
        <v>681</v>
      </c>
    </row>
    <row r="31" spans="1:7" ht="15" customHeight="1" x14ac:dyDescent="0.2">
      <c r="A31" s="15" t="s">
        <v>682</v>
      </c>
      <c r="B31" s="3" t="s">
        <v>592</v>
      </c>
      <c r="C31" s="3" t="s">
        <v>593</v>
      </c>
      <c r="D31" s="3" t="s">
        <v>594</v>
      </c>
      <c r="E31" s="3" t="s">
        <v>595</v>
      </c>
      <c r="F31" s="3" t="s">
        <v>683</v>
      </c>
      <c r="G31" s="3" t="s">
        <v>684</v>
      </c>
    </row>
    <row r="32" spans="1:7" ht="15" customHeight="1" x14ac:dyDescent="0.2">
      <c r="A32" s="15" t="s">
        <v>685</v>
      </c>
      <c r="B32" s="3" t="s">
        <v>592</v>
      </c>
      <c r="C32" s="3" t="s">
        <v>593</v>
      </c>
      <c r="D32" s="3" t="s">
        <v>594</v>
      </c>
      <c r="E32" s="3" t="s">
        <v>595</v>
      </c>
      <c r="F32" s="3" t="s">
        <v>686</v>
      </c>
      <c r="G32" s="3" t="s">
        <v>687</v>
      </c>
    </row>
    <row r="33" spans="1:7" ht="15" customHeight="1" x14ac:dyDescent="0.2">
      <c r="A33" s="15" t="s">
        <v>688</v>
      </c>
      <c r="B33" s="3" t="s">
        <v>592</v>
      </c>
      <c r="C33" s="3" t="s">
        <v>593</v>
      </c>
      <c r="D33" s="3" t="s">
        <v>594</v>
      </c>
      <c r="E33" s="3" t="s">
        <v>595</v>
      </c>
      <c r="F33" s="3" t="s">
        <v>689</v>
      </c>
      <c r="G33" s="3" t="s">
        <v>690</v>
      </c>
    </row>
    <row r="34" spans="1:7" ht="15" customHeight="1" x14ac:dyDescent="0.2">
      <c r="A34" s="15" t="s">
        <v>691</v>
      </c>
      <c r="B34" s="3" t="s">
        <v>592</v>
      </c>
      <c r="C34" s="3" t="s">
        <v>593</v>
      </c>
      <c r="D34" s="3" t="s">
        <v>594</v>
      </c>
      <c r="E34" s="3" t="s">
        <v>595</v>
      </c>
      <c r="F34" s="3" t="s">
        <v>692</v>
      </c>
      <c r="G34" s="3" t="s">
        <v>693</v>
      </c>
    </row>
    <row r="35" spans="1:7" ht="15" customHeight="1" x14ac:dyDescent="0.2">
      <c r="A35" s="15" t="s">
        <v>694</v>
      </c>
      <c r="B35" s="3" t="s">
        <v>592</v>
      </c>
      <c r="C35" s="3" t="s">
        <v>593</v>
      </c>
      <c r="D35" s="3" t="s">
        <v>594</v>
      </c>
      <c r="E35" s="3" t="s">
        <v>595</v>
      </c>
      <c r="F35" s="3" t="s">
        <v>695</v>
      </c>
      <c r="G35" s="3" t="s">
        <v>696</v>
      </c>
    </row>
    <row r="36" spans="1:7" ht="15" customHeight="1" x14ac:dyDescent="0.2">
      <c r="A36" s="15" t="s">
        <v>697</v>
      </c>
      <c r="B36" s="3" t="s">
        <v>592</v>
      </c>
      <c r="C36" s="3" t="s">
        <v>593</v>
      </c>
      <c r="D36" s="3" t="s">
        <v>594</v>
      </c>
      <c r="E36" s="3" t="s">
        <v>595</v>
      </c>
      <c r="F36" s="3" t="s">
        <v>698</v>
      </c>
      <c r="G36" s="3" t="s">
        <v>699</v>
      </c>
    </row>
    <row r="37" spans="1:7" ht="15" customHeight="1" x14ac:dyDescent="0.2">
      <c r="A37" s="15" t="s">
        <v>700</v>
      </c>
      <c r="B37" s="3" t="s">
        <v>592</v>
      </c>
      <c r="C37" s="3" t="s">
        <v>593</v>
      </c>
      <c r="D37" s="3" t="s">
        <v>594</v>
      </c>
      <c r="E37" s="3" t="s">
        <v>595</v>
      </c>
      <c r="F37" s="3" t="s">
        <v>701</v>
      </c>
      <c r="G37" s="3" t="s">
        <v>702</v>
      </c>
    </row>
    <row r="38" spans="1:7" ht="15" customHeight="1" x14ac:dyDescent="0.2">
      <c r="A38" s="15" t="s">
        <v>703</v>
      </c>
      <c r="B38" s="3" t="s">
        <v>592</v>
      </c>
      <c r="C38" s="3" t="s">
        <v>593</v>
      </c>
      <c r="D38" s="3" t="s">
        <v>594</v>
      </c>
      <c r="E38" s="3" t="s">
        <v>595</v>
      </c>
      <c r="F38" s="3" t="s">
        <v>704</v>
      </c>
      <c r="G38" s="3" t="s">
        <v>705</v>
      </c>
    </row>
    <row r="39" spans="1:7" ht="15" customHeight="1" x14ac:dyDescent="0.2">
      <c r="A39" s="15" t="s">
        <v>706</v>
      </c>
      <c r="B39" s="3" t="s">
        <v>592</v>
      </c>
      <c r="C39" s="3" t="s">
        <v>593</v>
      </c>
      <c r="D39" s="3" t="s">
        <v>594</v>
      </c>
      <c r="E39" s="3" t="s">
        <v>595</v>
      </c>
      <c r="F39" s="3" t="s">
        <v>707</v>
      </c>
      <c r="G39" s="3" t="s">
        <v>708</v>
      </c>
    </row>
    <row r="40" spans="1:7" ht="15" customHeight="1" x14ac:dyDescent="0.2">
      <c r="A40" s="15" t="s">
        <v>709</v>
      </c>
      <c r="B40" s="3" t="s">
        <v>592</v>
      </c>
      <c r="C40" s="3" t="s">
        <v>593</v>
      </c>
      <c r="D40" s="3" t="s">
        <v>594</v>
      </c>
      <c r="E40" s="3" t="s">
        <v>595</v>
      </c>
      <c r="F40" s="3" t="s">
        <v>710</v>
      </c>
      <c r="G40" s="3" t="s">
        <v>711</v>
      </c>
    </row>
    <row r="41" spans="1:7" ht="15" customHeight="1" x14ac:dyDescent="0.2">
      <c r="A41" s="15" t="s">
        <v>712</v>
      </c>
      <c r="B41" s="3" t="s">
        <v>592</v>
      </c>
      <c r="C41" s="3" t="s">
        <v>593</v>
      </c>
      <c r="D41" s="3" t="s">
        <v>594</v>
      </c>
      <c r="E41" s="3" t="s">
        <v>595</v>
      </c>
      <c r="F41" s="3" t="s">
        <v>713</v>
      </c>
      <c r="G41" s="3" t="s">
        <v>714</v>
      </c>
    </row>
    <row r="42" spans="1:7" ht="15" customHeight="1" x14ac:dyDescent="0.2">
      <c r="A42" s="15" t="s">
        <v>715</v>
      </c>
      <c r="B42" s="3" t="s">
        <v>592</v>
      </c>
      <c r="C42" s="3" t="s">
        <v>593</v>
      </c>
      <c r="D42" s="3" t="s">
        <v>594</v>
      </c>
      <c r="E42" s="3" t="s">
        <v>595</v>
      </c>
      <c r="F42" s="3" t="s">
        <v>716</v>
      </c>
      <c r="G42" s="3" t="s">
        <v>717</v>
      </c>
    </row>
    <row r="43" spans="1:7" ht="15" customHeight="1" x14ac:dyDescent="0.2">
      <c r="A43" s="15" t="s">
        <v>718</v>
      </c>
      <c r="B43" s="3" t="s">
        <v>592</v>
      </c>
      <c r="C43" s="3" t="s">
        <v>593</v>
      </c>
      <c r="D43" s="3" t="s">
        <v>594</v>
      </c>
      <c r="E43" s="3" t="s">
        <v>595</v>
      </c>
      <c r="F43" s="3" t="s">
        <v>719</v>
      </c>
      <c r="G43" s="3" t="s">
        <v>720</v>
      </c>
    </row>
    <row r="44" spans="1:7" ht="15" customHeight="1" x14ac:dyDescent="0.2">
      <c r="A44" s="15" t="s">
        <v>721</v>
      </c>
      <c r="B44" s="3" t="s">
        <v>592</v>
      </c>
      <c r="C44" s="3" t="s">
        <v>593</v>
      </c>
      <c r="D44" s="3" t="s">
        <v>594</v>
      </c>
      <c r="E44" s="3" t="s">
        <v>595</v>
      </c>
      <c r="F44" s="3" t="s">
        <v>722</v>
      </c>
      <c r="G44" s="3" t="s">
        <v>723</v>
      </c>
    </row>
    <row r="45" spans="1:7" ht="15" customHeight="1" x14ac:dyDescent="0.2">
      <c r="A45" s="15" t="s">
        <v>724</v>
      </c>
      <c r="B45" s="3" t="s">
        <v>592</v>
      </c>
      <c r="C45" s="3" t="s">
        <v>593</v>
      </c>
      <c r="D45" s="3" t="s">
        <v>594</v>
      </c>
      <c r="E45" s="3" t="s">
        <v>595</v>
      </c>
      <c r="F45" s="3" t="s">
        <v>725</v>
      </c>
      <c r="G45" s="3" t="s">
        <v>726</v>
      </c>
    </row>
    <row r="46" spans="1:7" ht="15" customHeight="1" x14ac:dyDescent="0.2">
      <c r="A46" s="15" t="s">
        <v>727</v>
      </c>
      <c r="B46" s="3" t="s">
        <v>592</v>
      </c>
      <c r="C46" s="3" t="s">
        <v>593</v>
      </c>
      <c r="D46" s="3" t="s">
        <v>594</v>
      </c>
      <c r="E46" s="3" t="s">
        <v>595</v>
      </c>
      <c r="F46" s="3" t="s">
        <v>728</v>
      </c>
      <c r="G46" s="3" t="s">
        <v>729</v>
      </c>
    </row>
    <row r="47" spans="1:7" ht="15" customHeight="1" x14ac:dyDescent="0.2">
      <c r="A47" s="15" t="s">
        <v>730</v>
      </c>
      <c r="B47" s="3" t="s">
        <v>592</v>
      </c>
      <c r="C47" s="3" t="s">
        <v>593</v>
      </c>
      <c r="D47" s="3" t="s">
        <v>594</v>
      </c>
      <c r="E47" s="3" t="s">
        <v>595</v>
      </c>
      <c r="F47" s="3" t="s">
        <v>731</v>
      </c>
      <c r="G47" s="3" t="s">
        <v>732</v>
      </c>
    </row>
    <row r="48" spans="1:7" ht="15" customHeight="1" x14ac:dyDescent="0.2">
      <c r="A48" s="15" t="s">
        <v>733</v>
      </c>
      <c r="B48" s="3" t="s">
        <v>592</v>
      </c>
      <c r="C48" s="3" t="s">
        <v>593</v>
      </c>
      <c r="D48" s="3" t="s">
        <v>594</v>
      </c>
      <c r="E48" s="3" t="s">
        <v>595</v>
      </c>
      <c r="F48" s="3" t="s">
        <v>734</v>
      </c>
      <c r="G48" s="3" t="s">
        <v>735</v>
      </c>
    </row>
    <row r="49" spans="1:7" ht="15" customHeight="1" x14ac:dyDescent="0.2">
      <c r="A49" s="15" t="s">
        <v>736</v>
      </c>
      <c r="B49" s="3" t="s">
        <v>592</v>
      </c>
      <c r="C49" s="3" t="s">
        <v>593</v>
      </c>
      <c r="D49" s="3" t="s">
        <v>594</v>
      </c>
      <c r="E49" s="3" t="s">
        <v>595</v>
      </c>
      <c r="F49" s="3" t="s">
        <v>737</v>
      </c>
      <c r="G49" s="3" t="s">
        <v>738</v>
      </c>
    </row>
    <row r="50" spans="1:7" ht="15" customHeight="1" x14ac:dyDescent="0.2">
      <c r="A50" s="15" t="s">
        <v>739</v>
      </c>
      <c r="B50" s="3" t="s">
        <v>592</v>
      </c>
      <c r="C50" s="3" t="s">
        <v>593</v>
      </c>
      <c r="D50" s="3" t="s">
        <v>594</v>
      </c>
      <c r="E50" s="3" t="s">
        <v>595</v>
      </c>
      <c r="F50" s="3" t="s">
        <v>740</v>
      </c>
      <c r="G50" s="3" t="s">
        <v>741</v>
      </c>
    </row>
    <row r="51" spans="1:7" ht="15" customHeight="1" x14ac:dyDescent="0.2">
      <c r="A51" s="15" t="s">
        <v>742</v>
      </c>
      <c r="B51" s="3" t="s">
        <v>592</v>
      </c>
      <c r="C51" s="3" t="s">
        <v>593</v>
      </c>
      <c r="D51" s="3" t="s">
        <v>594</v>
      </c>
      <c r="E51" s="3" t="s">
        <v>595</v>
      </c>
      <c r="F51" s="3" t="s">
        <v>743</v>
      </c>
      <c r="G51" s="3" t="s">
        <v>744</v>
      </c>
    </row>
    <row r="52" spans="1:7" ht="15" customHeight="1" x14ac:dyDescent="0.2">
      <c r="A52" s="15" t="s">
        <v>745</v>
      </c>
      <c r="B52" s="3" t="s">
        <v>592</v>
      </c>
      <c r="C52" s="3" t="s">
        <v>593</v>
      </c>
      <c r="D52" s="3" t="s">
        <v>594</v>
      </c>
      <c r="E52" s="3" t="s">
        <v>595</v>
      </c>
      <c r="F52" s="3" t="s">
        <v>746</v>
      </c>
      <c r="G52" s="3" t="s">
        <v>747</v>
      </c>
    </row>
    <row r="53" spans="1:7" ht="15" customHeight="1" x14ac:dyDescent="0.2">
      <c r="A53" s="15" t="s">
        <v>748</v>
      </c>
      <c r="B53" s="3" t="s">
        <v>592</v>
      </c>
      <c r="C53" s="3" t="s">
        <v>593</v>
      </c>
      <c r="D53" s="3" t="s">
        <v>594</v>
      </c>
      <c r="E53" s="3" t="s">
        <v>595</v>
      </c>
      <c r="F53" s="3" t="s">
        <v>749</v>
      </c>
      <c r="G53" s="3" t="s">
        <v>750</v>
      </c>
    </row>
    <row r="54" spans="1:7" ht="15" customHeight="1" x14ac:dyDescent="0.2">
      <c r="A54" s="15" t="s">
        <v>751</v>
      </c>
      <c r="B54" s="3" t="s">
        <v>592</v>
      </c>
      <c r="C54" s="3" t="s">
        <v>593</v>
      </c>
      <c r="D54" s="3" t="s">
        <v>594</v>
      </c>
      <c r="E54" s="3" t="s">
        <v>595</v>
      </c>
      <c r="F54" s="3" t="s">
        <v>752</v>
      </c>
      <c r="G54" s="3" t="s">
        <v>753</v>
      </c>
    </row>
    <row r="55" spans="1:7" ht="15" customHeight="1" x14ac:dyDescent="0.2">
      <c r="A55" s="15" t="s">
        <v>754</v>
      </c>
      <c r="B55" s="3" t="s">
        <v>592</v>
      </c>
      <c r="C55" s="3" t="s">
        <v>593</v>
      </c>
      <c r="D55" s="3" t="s">
        <v>594</v>
      </c>
      <c r="E55" s="3" t="s">
        <v>595</v>
      </c>
      <c r="F55" s="3" t="s">
        <v>755</v>
      </c>
      <c r="G55" s="3" t="s">
        <v>756</v>
      </c>
    </row>
    <row r="56" spans="1:7" ht="15" customHeight="1" x14ac:dyDescent="0.2">
      <c r="A56" s="15" t="s">
        <v>757</v>
      </c>
      <c r="B56" s="3" t="s">
        <v>592</v>
      </c>
      <c r="C56" s="3" t="s">
        <v>593</v>
      </c>
      <c r="D56" s="3" t="s">
        <v>594</v>
      </c>
      <c r="E56" s="3" t="s">
        <v>595</v>
      </c>
      <c r="F56" s="3" t="s">
        <v>758</v>
      </c>
      <c r="G56" s="3" t="s">
        <v>759</v>
      </c>
    </row>
    <row r="57" spans="1:7" ht="15" customHeight="1" x14ac:dyDescent="0.2">
      <c r="A57" s="15" t="s">
        <v>760</v>
      </c>
      <c r="B57" s="3" t="s">
        <v>592</v>
      </c>
      <c r="C57" s="3" t="s">
        <v>593</v>
      </c>
      <c r="D57" s="3" t="s">
        <v>594</v>
      </c>
      <c r="E57" s="3" t="s">
        <v>595</v>
      </c>
      <c r="F57" s="3" t="s">
        <v>761</v>
      </c>
      <c r="G57" s="3" t="s">
        <v>762</v>
      </c>
    </row>
    <row r="58" spans="1:7" ht="15" customHeight="1" x14ac:dyDescent="0.2">
      <c r="A58" s="15" t="s">
        <v>763</v>
      </c>
      <c r="B58" s="3" t="s">
        <v>592</v>
      </c>
      <c r="C58" s="3" t="s">
        <v>593</v>
      </c>
      <c r="D58" s="3" t="s">
        <v>594</v>
      </c>
      <c r="E58" s="3" t="s">
        <v>595</v>
      </c>
      <c r="F58" s="3" t="s">
        <v>764</v>
      </c>
      <c r="G58" s="3" t="s">
        <v>765</v>
      </c>
    </row>
    <row r="59" spans="1:7" ht="15" customHeight="1" x14ac:dyDescent="0.2">
      <c r="A59" s="15" t="s">
        <v>766</v>
      </c>
      <c r="B59" s="3" t="s">
        <v>592</v>
      </c>
      <c r="C59" s="3" t="s">
        <v>593</v>
      </c>
      <c r="D59" s="3" t="s">
        <v>594</v>
      </c>
      <c r="E59" s="3" t="s">
        <v>595</v>
      </c>
      <c r="F59" s="3" t="s">
        <v>767</v>
      </c>
      <c r="G59" s="3" t="s">
        <v>768</v>
      </c>
    </row>
    <row r="60" spans="1:7" ht="15" customHeight="1" x14ac:dyDescent="0.2">
      <c r="A60" s="15" t="s">
        <v>769</v>
      </c>
      <c r="B60" s="3" t="s">
        <v>592</v>
      </c>
      <c r="C60" s="3" t="s">
        <v>593</v>
      </c>
      <c r="D60" s="3" t="s">
        <v>594</v>
      </c>
      <c r="E60" s="3" t="s">
        <v>595</v>
      </c>
      <c r="F60" s="3" t="s">
        <v>770</v>
      </c>
      <c r="G60" s="3" t="s">
        <v>771</v>
      </c>
    </row>
    <row r="61" spans="1:7" ht="15" customHeight="1" x14ac:dyDescent="0.2">
      <c r="A61" s="15" t="s">
        <v>772</v>
      </c>
      <c r="B61" s="3" t="s">
        <v>592</v>
      </c>
      <c r="C61" s="3" t="s">
        <v>593</v>
      </c>
      <c r="D61" s="3" t="s">
        <v>594</v>
      </c>
      <c r="E61" s="3" t="s">
        <v>595</v>
      </c>
      <c r="F61" s="3" t="s">
        <v>773</v>
      </c>
      <c r="G61" s="3" t="s">
        <v>774</v>
      </c>
    </row>
    <row r="62" spans="1:7" ht="15" customHeight="1" x14ac:dyDescent="0.2">
      <c r="A62" s="15" t="s">
        <v>775</v>
      </c>
      <c r="B62" s="3" t="s">
        <v>592</v>
      </c>
      <c r="C62" s="3" t="s">
        <v>593</v>
      </c>
      <c r="D62" s="3" t="s">
        <v>594</v>
      </c>
      <c r="E62" s="3" t="s">
        <v>776</v>
      </c>
      <c r="F62" s="3" t="s">
        <v>777</v>
      </c>
      <c r="G62" s="3" t="s">
        <v>778</v>
      </c>
    </row>
    <row r="63" spans="1:7" ht="15" customHeight="1" x14ac:dyDescent="0.2">
      <c r="A63" s="15" t="s">
        <v>779</v>
      </c>
      <c r="B63" s="3" t="s">
        <v>592</v>
      </c>
      <c r="C63" s="3" t="s">
        <v>593</v>
      </c>
      <c r="D63" s="3" t="s">
        <v>594</v>
      </c>
      <c r="E63" s="3" t="s">
        <v>595</v>
      </c>
      <c r="F63" s="3" t="s">
        <v>780</v>
      </c>
      <c r="G63" s="3" t="s">
        <v>781</v>
      </c>
    </row>
    <row r="64" spans="1:7" ht="15" customHeight="1" x14ac:dyDescent="0.2">
      <c r="A64" s="15" t="s">
        <v>782</v>
      </c>
      <c r="B64" s="3" t="s">
        <v>592</v>
      </c>
      <c r="C64" s="3" t="s">
        <v>593</v>
      </c>
      <c r="D64" s="3" t="s">
        <v>594</v>
      </c>
      <c r="E64" s="3" t="s">
        <v>595</v>
      </c>
      <c r="F64" s="3" t="s">
        <v>783</v>
      </c>
      <c r="G64" s="3" t="s">
        <v>784</v>
      </c>
    </row>
    <row r="65" spans="1:7" ht="15" customHeight="1" x14ac:dyDescent="0.2">
      <c r="A65" s="15" t="s">
        <v>785</v>
      </c>
      <c r="B65" s="3" t="s">
        <v>592</v>
      </c>
      <c r="C65" s="3" t="s">
        <v>593</v>
      </c>
      <c r="D65" s="3" t="s">
        <v>594</v>
      </c>
      <c r="E65" s="3" t="s">
        <v>595</v>
      </c>
      <c r="F65" s="3" t="s">
        <v>786</v>
      </c>
      <c r="G65" s="3" t="s">
        <v>787</v>
      </c>
    </row>
    <row r="66" spans="1:7" ht="15" customHeight="1" x14ac:dyDescent="0.2">
      <c r="A66" s="15" t="s">
        <v>788</v>
      </c>
      <c r="B66" s="3" t="s">
        <v>592</v>
      </c>
      <c r="C66" s="3" t="s">
        <v>593</v>
      </c>
      <c r="D66" s="3" t="s">
        <v>594</v>
      </c>
      <c r="E66" s="3" t="s">
        <v>595</v>
      </c>
      <c r="F66" s="3" t="s">
        <v>789</v>
      </c>
      <c r="G66" s="3" t="s">
        <v>790</v>
      </c>
    </row>
    <row r="67" spans="1:7" ht="15" customHeight="1" x14ac:dyDescent="0.2">
      <c r="A67" s="15" t="s">
        <v>791</v>
      </c>
      <c r="B67" s="3" t="s">
        <v>592</v>
      </c>
      <c r="C67" s="3" t="s">
        <v>593</v>
      </c>
      <c r="D67" s="3" t="s">
        <v>594</v>
      </c>
      <c r="E67" s="3" t="s">
        <v>595</v>
      </c>
      <c r="F67" s="3" t="s">
        <v>792</v>
      </c>
      <c r="G67" s="3" t="s">
        <v>793</v>
      </c>
    </row>
    <row r="68" spans="1:7" ht="15" customHeight="1" x14ac:dyDescent="0.2">
      <c r="A68" s="15" t="s">
        <v>794</v>
      </c>
      <c r="B68" s="3" t="s">
        <v>592</v>
      </c>
      <c r="C68" s="3" t="s">
        <v>593</v>
      </c>
      <c r="D68" s="3" t="s">
        <v>594</v>
      </c>
      <c r="E68" s="3" t="s">
        <v>595</v>
      </c>
      <c r="F68" s="3" t="s">
        <v>795</v>
      </c>
      <c r="G68" s="3" t="s">
        <v>796</v>
      </c>
    </row>
    <row r="69" spans="1:7" ht="15" customHeight="1" x14ac:dyDescent="0.2">
      <c r="A69" s="15" t="s">
        <v>797</v>
      </c>
      <c r="B69" s="3" t="s">
        <v>592</v>
      </c>
      <c r="C69" s="3" t="s">
        <v>593</v>
      </c>
      <c r="D69" s="3" t="s">
        <v>594</v>
      </c>
      <c r="E69" s="3" t="s">
        <v>595</v>
      </c>
      <c r="F69" s="3" t="s">
        <v>798</v>
      </c>
      <c r="G69" s="3" t="s">
        <v>799</v>
      </c>
    </row>
    <row r="70" spans="1:7" ht="15" customHeight="1" x14ac:dyDescent="0.2">
      <c r="A70" s="15" t="s">
        <v>800</v>
      </c>
      <c r="B70" s="3" t="s">
        <v>592</v>
      </c>
      <c r="C70" s="3" t="s">
        <v>593</v>
      </c>
      <c r="D70" s="3" t="s">
        <v>594</v>
      </c>
      <c r="E70" s="3" t="s">
        <v>595</v>
      </c>
      <c r="F70" s="3" t="s">
        <v>801</v>
      </c>
      <c r="G70" s="3" t="s">
        <v>802</v>
      </c>
    </row>
    <row r="71" spans="1:7" ht="15" customHeight="1" x14ac:dyDescent="0.2">
      <c r="A71" s="15" t="s">
        <v>803</v>
      </c>
      <c r="B71" s="3" t="s">
        <v>592</v>
      </c>
      <c r="C71" s="3" t="s">
        <v>593</v>
      </c>
      <c r="D71" s="3" t="s">
        <v>594</v>
      </c>
      <c r="E71" s="3" t="s">
        <v>595</v>
      </c>
      <c r="F71" s="3" t="s">
        <v>804</v>
      </c>
      <c r="G71" s="3" t="s">
        <v>805</v>
      </c>
    </row>
    <row r="72" spans="1:7" ht="15" customHeight="1" x14ac:dyDescent="0.2">
      <c r="A72" s="15" t="s">
        <v>806</v>
      </c>
      <c r="B72" s="3" t="s">
        <v>592</v>
      </c>
      <c r="C72" s="3" t="s">
        <v>593</v>
      </c>
      <c r="D72" s="3" t="s">
        <v>594</v>
      </c>
      <c r="E72" s="3" t="s">
        <v>595</v>
      </c>
      <c r="F72" s="3" t="s">
        <v>807</v>
      </c>
      <c r="G72" s="3" t="s">
        <v>808</v>
      </c>
    </row>
    <row r="73" spans="1:7" ht="15" customHeight="1" x14ac:dyDescent="0.2">
      <c r="A73" s="15" t="s">
        <v>809</v>
      </c>
      <c r="B73" s="3" t="s">
        <v>592</v>
      </c>
      <c r="C73" s="3" t="s">
        <v>593</v>
      </c>
      <c r="D73" s="3" t="s">
        <v>594</v>
      </c>
      <c r="E73" s="3" t="s">
        <v>595</v>
      </c>
      <c r="F73" s="3" t="s">
        <v>810</v>
      </c>
      <c r="G73" s="3" t="s">
        <v>811</v>
      </c>
    </row>
    <row r="74" spans="1:7" ht="15" customHeight="1" x14ac:dyDescent="0.2">
      <c r="A74" s="15" t="s">
        <v>812</v>
      </c>
      <c r="B74" s="3" t="s">
        <v>592</v>
      </c>
      <c r="C74" s="3" t="s">
        <v>593</v>
      </c>
      <c r="D74" s="3" t="s">
        <v>594</v>
      </c>
      <c r="E74" s="3" t="s">
        <v>595</v>
      </c>
      <c r="F74" s="3" t="s">
        <v>813</v>
      </c>
      <c r="G74" s="3" t="s">
        <v>814</v>
      </c>
    </row>
    <row r="75" spans="1:7" ht="15" customHeight="1" x14ac:dyDescent="0.2">
      <c r="A75" s="15" t="s">
        <v>815</v>
      </c>
      <c r="B75" s="3" t="s">
        <v>592</v>
      </c>
      <c r="C75" s="3" t="s">
        <v>593</v>
      </c>
      <c r="D75" s="3" t="s">
        <v>594</v>
      </c>
      <c r="E75" s="3" t="s">
        <v>595</v>
      </c>
      <c r="F75" s="3" t="s">
        <v>816</v>
      </c>
      <c r="G75" s="3" t="s">
        <v>817</v>
      </c>
    </row>
    <row r="76" spans="1:7" ht="15" customHeight="1" x14ac:dyDescent="0.2">
      <c r="A76" s="15" t="s">
        <v>818</v>
      </c>
      <c r="B76" s="3" t="s">
        <v>592</v>
      </c>
      <c r="C76" s="3" t="s">
        <v>593</v>
      </c>
      <c r="D76" s="3" t="s">
        <v>594</v>
      </c>
      <c r="E76" s="3" t="s">
        <v>595</v>
      </c>
      <c r="F76" s="3" t="s">
        <v>819</v>
      </c>
      <c r="G76" s="3" t="s">
        <v>820</v>
      </c>
    </row>
    <row r="77" spans="1:7" ht="15" customHeight="1" x14ac:dyDescent="0.2">
      <c r="A77" s="15" t="s">
        <v>821</v>
      </c>
      <c r="B77" s="3" t="s">
        <v>592</v>
      </c>
      <c r="C77" s="3" t="s">
        <v>593</v>
      </c>
      <c r="D77" s="3" t="s">
        <v>594</v>
      </c>
      <c r="E77" s="3" t="s">
        <v>595</v>
      </c>
      <c r="F77" s="3" t="s">
        <v>822</v>
      </c>
      <c r="G77" s="3" t="s">
        <v>823</v>
      </c>
    </row>
    <row r="78" spans="1:7" ht="15" customHeight="1" x14ac:dyDescent="0.2">
      <c r="A78" s="15" t="s">
        <v>824</v>
      </c>
      <c r="B78" s="3" t="s">
        <v>592</v>
      </c>
      <c r="C78" s="3" t="s">
        <v>593</v>
      </c>
      <c r="D78" s="3" t="s">
        <v>594</v>
      </c>
      <c r="E78" s="3" t="s">
        <v>595</v>
      </c>
      <c r="F78" s="3" t="s">
        <v>825</v>
      </c>
      <c r="G78" s="3" t="s">
        <v>826</v>
      </c>
    </row>
    <row r="79" spans="1:7" ht="15" customHeight="1" x14ac:dyDescent="0.2">
      <c r="A79" s="15" t="s">
        <v>827</v>
      </c>
      <c r="B79" s="3" t="s">
        <v>592</v>
      </c>
      <c r="C79" s="3" t="s">
        <v>593</v>
      </c>
      <c r="D79" s="3" t="s">
        <v>594</v>
      </c>
      <c r="E79" s="3" t="s">
        <v>595</v>
      </c>
      <c r="F79" s="3" t="s">
        <v>828</v>
      </c>
      <c r="G79" s="3" t="s">
        <v>829</v>
      </c>
    </row>
    <row r="80" spans="1:7" ht="15" customHeight="1" x14ac:dyDescent="0.2">
      <c r="A80" s="15" t="s">
        <v>830</v>
      </c>
      <c r="B80" s="3" t="s">
        <v>592</v>
      </c>
      <c r="C80" s="3" t="s">
        <v>593</v>
      </c>
      <c r="D80" s="3" t="s">
        <v>594</v>
      </c>
      <c r="E80" s="3" t="s">
        <v>595</v>
      </c>
      <c r="F80" s="3" t="s">
        <v>831</v>
      </c>
      <c r="G80" s="3" t="s">
        <v>832</v>
      </c>
    </row>
    <row r="81" spans="1:7" ht="15" customHeight="1" x14ac:dyDescent="0.2">
      <c r="A81" s="15" t="s">
        <v>833</v>
      </c>
      <c r="B81" s="3" t="s">
        <v>592</v>
      </c>
      <c r="C81" s="3" t="s">
        <v>593</v>
      </c>
      <c r="D81" s="3" t="s">
        <v>594</v>
      </c>
      <c r="E81" s="3" t="s">
        <v>595</v>
      </c>
      <c r="F81" s="3" t="s">
        <v>834</v>
      </c>
      <c r="G81" s="3" t="s">
        <v>835</v>
      </c>
    </row>
    <row r="82" spans="1:7" ht="15" customHeight="1" x14ac:dyDescent="0.2">
      <c r="A82" s="15" t="s">
        <v>836</v>
      </c>
      <c r="B82" s="3" t="s">
        <v>592</v>
      </c>
      <c r="C82" s="3" t="s">
        <v>593</v>
      </c>
      <c r="D82" s="3" t="s">
        <v>594</v>
      </c>
      <c r="E82" s="3" t="s">
        <v>595</v>
      </c>
      <c r="F82" s="3" t="s">
        <v>837</v>
      </c>
      <c r="G82" s="3" t="s">
        <v>838</v>
      </c>
    </row>
    <row r="83" spans="1:7" ht="15" customHeight="1" x14ac:dyDescent="0.2">
      <c r="A83" s="15" t="s">
        <v>839</v>
      </c>
      <c r="B83" s="3" t="s">
        <v>592</v>
      </c>
      <c r="C83" s="3" t="s">
        <v>593</v>
      </c>
      <c r="D83" s="3" t="s">
        <v>594</v>
      </c>
      <c r="E83" s="3" t="s">
        <v>595</v>
      </c>
      <c r="F83" s="3" t="s">
        <v>840</v>
      </c>
      <c r="G83" s="3" t="s">
        <v>841</v>
      </c>
    </row>
    <row r="84" spans="1:7" ht="15" customHeight="1" x14ac:dyDescent="0.2">
      <c r="A84" s="15" t="s">
        <v>842</v>
      </c>
      <c r="B84" s="3" t="s">
        <v>592</v>
      </c>
      <c r="C84" s="3" t="s">
        <v>593</v>
      </c>
      <c r="D84" s="3" t="s">
        <v>594</v>
      </c>
      <c r="E84" s="3" t="s">
        <v>595</v>
      </c>
      <c r="F84" s="3" t="s">
        <v>843</v>
      </c>
      <c r="G84" s="3" t="s">
        <v>844</v>
      </c>
    </row>
    <row r="85" spans="1:7" ht="15" customHeight="1" x14ac:dyDescent="0.2">
      <c r="A85" s="15" t="s">
        <v>845</v>
      </c>
      <c r="B85" s="3" t="s">
        <v>592</v>
      </c>
      <c r="C85" s="3" t="s">
        <v>593</v>
      </c>
      <c r="D85" s="3" t="s">
        <v>594</v>
      </c>
      <c r="E85" s="3" t="s">
        <v>595</v>
      </c>
      <c r="F85" s="3" t="s">
        <v>846</v>
      </c>
      <c r="G85" s="3" t="s">
        <v>847</v>
      </c>
    </row>
    <row r="86" spans="1:7" ht="15" customHeight="1" x14ac:dyDescent="0.2">
      <c r="A86" s="15" t="s">
        <v>848</v>
      </c>
      <c r="B86" s="3" t="s">
        <v>592</v>
      </c>
      <c r="C86" s="3" t="s">
        <v>593</v>
      </c>
      <c r="D86" s="3" t="s">
        <v>594</v>
      </c>
      <c r="E86" s="3" t="s">
        <v>595</v>
      </c>
      <c r="F86" s="3" t="s">
        <v>849</v>
      </c>
      <c r="G86" s="3" t="s">
        <v>850</v>
      </c>
    </row>
    <row r="87" spans="1:7" ht="15" customHeight="1" x14ac:dyDescent="0.2">
      <c r="A87" s="15" t="s">
        <v>851</v>
      </c>
      <c r="B87" s="3" t="s">
        <v>592</v>
      </c>
      <c r="C87" s="3" t="s">
        <v>593</v>
      </c>
      <c r="D87" s="3" t="s">
        <v>594</v>
      </c>
      <c r="E87" s="3" t="s">
        <v>595</v>
      </c>
      <c r="F87" s="3" t="s">
        <v>852</v>
      </c>
      <c r="G87" s="3" t="s">
        <v>853</v>
      </c>
    </row>
    <row r="88" spans="1:7" ht="15" customHeight="1" x14ac:dyDescent="0.2">
      <c r="A88" s="15" t="s">
        <v>854</v>
      </c>
      <c r="B88" s="3" t="s">
        <v>592</v>
      </c>
      <c r="C88" s="3" t="s">
        <v>593</v>
      </c>
      <c r="D88" s="3" t="s">
        <v>594</v>
      </c>
      <c r="E88" s="3" t="s">
        <v>595</v>
      </c>
      <c r="F88" s="3" t="s">
        <v>855</v>
      </c>
      <c r="G88" s="3" t="s">
        <v>856</v>
      </c>
    </row>
    <row r="89" spans="1:7" ht="15" customHeight="1" x14ac:dyDescent="0.2">
      <c r="A89" s="15" t="s">
        <v>857</v>
      </c>
      <c r="B89" s="3" t="s">
        <v>592</v>
      </c>
      <c r="C89" s="3" t="s">
        <v>593</v>
      </c>
      <c r="D89" s="3" t="s">
        <v>594</v>
      </c>
      <c r="E89" s="3" t="s">
        <v>595</v>
      </c>
      <c r="F89" s="3" t="s">
        <v>858</v>
      </c>
      <c r="G89" s="3" t="s">
        <v>859</v>
      </c>
    </row>
    <row r="90" spans="1:7" ht="15" customHeight="1" x14ac:dyDescent="0.2">
      <c r="A90" s="15" t="s">
        <v>860</v>
      </c>
      <c r="B90" s="3" t="s">
        <v>592</v>
      </c>
      <c r="C90" s="3" t="s">
        <v>593</v>
      </c>
      <c r="D90" s="3" t="s">
        <v>594</v>
      </c>
      <c r="E90" s="3" t="s">
        <v>595</v>
      </c>
      <c r="F90" s="3" t="s">
        <v>861</v>
      </c>
      <c r="G90" s="3" t="s">
        <v>862</v>
      </c>
    </row>
    <row r="91" spans="1:7" ht="15" customHeight="1" x14ac:dyDescent="0.2">
      <c r="A91" s="17" t="s">
        <v>863</v>
      </c>
      <c r="B91" s="3" t="s">
        <v>592</v>
      </c>
      <c r="C91" s="3" t="s">
        <v>593</v>
      </c>
      <c r="D91" s="3" t="s">
        <v>594</v>
      </c>
      <c r="E91" s="3" t="s">
        <v>595</v>
      </c>
      <c r="F91" s="3" t="s">
        <v>864</v>
      </c>
      <c r="G91" s="3" t="s">
        <v>865</v>
      </c>
    </row>
    <row r="92" spans="1:7" ht="15" customHeight="1" x14ac:dyDescent="0.2">
      <c r="A92" s="15" t="s">
        <v>866</v>
      </c>
      <c r="B92" s="3" t="s">
        <v>592</v>
      </c>
      <c r="C92" s="3" t="s">
        <v>593</v>
      </c>
      <c r="D92" s="3" t="s">
        <v>594</v>
      </c>
      <c r="E92" s="3" t="s">
        <v>595</v>
      </c>
      <c r="F92" s="3" t="s">
        <v>867</v>
      </c>
      <c r="G92" s="3" t="s">
        <v>868</v>
      </c>
    </row>
    <row r="93" spans="1:7" ht="15" customHeight="1" x14ac:dyDescent="0.2">
      <c r="A93" s="15" t="s">
        <v>869</v>
      </c>
      <c r="B93" s="3" t="s">
        <v>592</v>
      </c>
      <c r="C93" s="3" t="s">
        <v>593</v>
      </c>
      <c r="D93" s="3" t="s">
        <v>594</v>
      </c>
      <c r="E93" s="3" t="s">
        <v>595</v>
      </c>
      <c r="F93" s="3" t="s">
        <v>870</v>
      </c>
      <c r="G93" s="3" t="s">
        <v>871</v>
      </c>
    </row>
    <row r="94" spans="1:7" ht="15" customHeight="1" x14ac:dyDescent="0.2">
      <c r="A94" s="15" t="s">
        <v>872</v>
      </c>
      <c r="B94" s="3" t="s">
        <v>592</v>
      </c>
      <c r="C94" s="3" t="s">
        <v>593</v>
      </c>
      <c r="D94" s="3" t="s">
        <v>594</v>
      </c>
      <c r="E94" s="3" t="s">
        <v>595</v>
      </c>
      <c r="F94" s="3" t="s">
        <v>873</v>
      </c>
      <c r="G94" s="3" t="s">
        <v>874</v>
      </c>
    </row>
    <row r="95" spans="1:7" ht="15" customHeight="1" x14ac:dyDescent="0.2">
      <c r="A95" s="15" t="s">
        <v>875</v>
      </c>
      <c r="B95" s="3" t="s">
        <v>592</v>
      </c>
      <c r="C95" s="3" t="s">
        <v>593</v>
      </c>
      <c r="D95" s="3" t="s">
        <v>594</v>
      </c>
      <c r="E95" s="3" t="s">
        <v>595</v>
      </c>
      <c r="F95" s="3" t="s">
        <v>876</v>
      </c>
      <c r="G95" s="3" t="s">
        <v>877</v>
      </c>
    </row>
    <row r="96" spans="1:7" ht="15" customHeight="1" x14ac:dyDescent="0.2">
      <c r="A96" s="15" t="s">
        <v>878</v>
      </c>
      <c r="B96" s="3" t="s">
        <v>592</v>
      </c>
      <c r="C96" s="3" t="s">
        <v>593</v>
      </c>
      <c r="D96" s="3" t="s">
        <v>594</v>
      </c>
      <c r="E96" s="3" t="s">
        <v>595</v>
      </c>
      <c r="F96" s="3" t="s">
        <v>879</v>
      </c>
      <c r="G96" s="3" t="s">
        <v>880</v>
      </c>
    </row>
    <row r="97" spans="1:7" ht="15" customHeight="1" x14ac:dyDescent="0.2">
      <c r="A97" s="15" t="s">
        <v>881</v>
      </c>
      <c r="B97" s="3" t="s">
        <v>592</v>
      </c>
      <c r="C97" s="3" t="s">
        <v>593</v>
      </c>
      <c r="D97" s="3" t="s">
        <v>594</v>
      </c>
      <c r="E97" s="3" t="s">
        <v>595</v>
      </c>
      <c r="F97" s="3" t="s">
        <v>882</v>
      </c>
      <c r="G97" s="3" t="s">
        <v>883</v>
      </c>
    </row>
    <row r="98" spans="1:7" ht="15" customHeight="1" x14ac:dyDescent="0.2">
      <c r="A98" s="15" t="s">
        <v>884</v>
      </c>
      <c r="B98" s="3" t="s">
        <v>592</v>
      </c>
      <c r="C98" s="3" t="s">
        <v>593</v>
      </c>
      <c r="D98" s="3" t="s">
        <v>594</v>
      </c>
      <c r="E98" s="3" t="s">
        <v>595</v>
      </c>
      <c r="F98" s="3" t="s">
        <v>885</v>
      </c>
      <c r="G98" s="3" t="s">
        <v>886</v>
      </c>
    </row>
    <row r="99" spans="1:7" ht="15" customHeight="1" x14ac:dyDescent="0.2">
      <c r="A99" s="15" t="s">
        <v>887</v>
      </c>
      <c r="B99" s="3" t="s">
        <v>592</v>
      </c>
      <c r="C99" s="3" t="s">
        <v>593</v>
      </c>
      <c r="D99" s="3" t="s">
        <v>594</v>
      </c>
      <c r="E99" s="3" t="s">
        <v>595</v>
      </c>
      <c r="F99" s="3" t="s">
        <v>888</v>
      </c>
      <c r="G99" s="3" t="s">
        <v>889</v>
      </c>
    </row>
    <row r="100" spans="1:7" ht="15" customHeight="1" x14ac:dyDescent="0.2">
      <c r="A100" s="15" t="s">
        <v>890</v>
      </c>
      <c r="B100" s="3" t="s">
        <v>592</v>
      </c>
      <c r="C100" s="3" t="s">
        <v>593</v>
      </c>
      <c r="D100" s="3" t="s">
        <v>594</v>
      </c>
      <c r="E100" s="3" t="s">
        <v>595</v>
      </c>
      <c r="F100" s="3" t="s">
        <v>891</v>
      </c>
      <c r="G100" s="3" t="s">
        <v>892</v>
      </c>
    </row>
    <row r="101" spans="1:7" ht="15" customHeight="1" x14ac:dyDescent="0.2">
      <c r="A101" s="14" t="s">
        <v>893</v>
      </c>
      <c r="B101" s="3" t="s">
        <v>592</v>
      </c>
      <c r="C101" s="3" t="s">
        <v>593</v>
      </c>
      <c r="D101" s="3" t="s">
        <v>594</v>
      </c>
      <c r="E101" s="3" t="s">
        <v>595</v>
      </c>
      <c r="F101" s="3" t="s">
        <v>894</v>
      </c>
      <c r="G101" s="3" t="s">
        <v>895</v>
      </c>
    </row>
    <row r="102" spans="1:7" ht="15" customHeight="1" x14ac:dyDescent="0.2">
      <c r="A102" s="15" t="s">
        <v>896</v>
      </c>
      <c r="B102" s="3" t="s">
        <v>592</v>
      </c>
      <c r="C102" s="3" t="s">
        <v>593</v>
      </c>
      <c r="D102" s="3" t="s">
        <v>594</v>
      </c>
      <c r="E102" s="3" t="s">
        <v>595</v>
      </c>
      <c r="F102" s="3" t="s">
        <v>897</v>
      </c>
      <c r="G102" s="3" t="s">
        <v>898</v>
      </c>
    </row>
    <row r="103" spans="1:7" ht="15" customHeight="1" x14ac:dyDescent="0.2">
      <c r="A103" s="15" t="s">
        <v>899</v>
      </c>
      <c r="B103" s="3" t="s">
        <v>592</v>
      </c>
      <c r="C103" s="3" t="s">
        <v>593</v>
      </c>
      <c r="D103" s="3" t="s">
        <v>594</v>
      </c>
      <c r="E103" s="3" t="s">
        <v>595</v>
      </c>
      <c r="F103" s="3" t="s">
        <v>900</v>
      </c>
      <c r="G103" s="3" t="s">
        <v>901</v>
      </c>
    </row>
    <row r="104" spans="1:7" ht="15" customHeight="1" x14ac:dyDescent="0.2">
      <c r="A104" s="15" t="s">
        <v>902</v>
      </c>
      <c r="B104" s="3" t="s">
        <v>592</v>
      </c>
      <c r="C104" s="3" t="s">
        <v>593</v>
      </c>
      <c r="D104" s="3" t="s">
        <v>594</v>
      </c>
      <c r="E104" s="3" t="s">
        <v>595</v>
      </c>
      <c r="F104" s="3" t="s">
        <v>903</v>
      </c>
      <c r="G104" s="3" t="s">
        <v>904</v>
      </c>
    </row>
    <row r="105" spans="1:7" ht="15" customHeight="1" x14ac:dyDescent="0.2">
      <c r="A105" s="15" t="s">
        <v>905</v>
      </c>
      <c r="B105" s="3" t="s">
        <v>592</v>
      </c>
      <c r="C105" s="3" t="s">
        <v>593</v>
      </c>
      <c r="D105" s="3" t="s">
        <v>594</v>
      </c>
      <c r="E105" s="3" t="s">
        <v>595</v>
      </c>
      <c r="F105" s="3" t="s">
        <v>906</v>
      </c>
      <c r="G105" s="3" t="s">
        <v>907</v>
      </c>
    </row>
    <row r="106" spans="1:7" ht="15" customHeight="1" x14ac:dyDescent="0.2">
      <c r="A106" s="15" t="s">
        <v>908</v>
      </c>
      <c r="B106" s="3" t="s">
        <v>592</v>
      </c>
      <c r="C106" s="3" t="s">
        <v>593</v>
      </c>
      <c r="D106" s="3" t="s">
        <v>594</v>
      </c>
      <c r="E106" s="3" t="s">
        <v>595</v>
      </c>
      <c r="F106" s="3" t="s">
        <v>909</v>
      </c>
      <c r="G106" s="3" t="s">
        <v>910</v>
      </c>
    </row>
    <row r="107" spans="1:7" ht="15" customHeight="1" x14ac:dyDescent="0.2">
      <c r="A107" s="15" t="s">
        <v>911</v>
      </c>
      <c r="B107" s="3" t="s">
        <v>592</v>
      </c>
      <c r="C107" s="3" t="s">
        <v>593</v>
      </c>
      <c r="D107" s="3" t="s">
        <v>594</v>
      </c>
      <c r="E107" s="3" t="s">
        <v>595</v>
      </c>
      <c r="F107" s="3" t="s">
        <v>912</v>
      </c>
      <c r="G107" s="3" t="s">
        <v>913</v>
      </c>
    </row>
    <row r="108" spans="1:7" ht="15" customHeight="1" x14ac:dyDescent="0.2">
      <c r="A108" s="15" t="s">
        <v>914</v>
      </c>
      <c r="B108" s="3" t="s">
        <v>592</v>
      </c>
      <c r="C108" s="3" t="s">
        <v>593</v>
      </c>
      <c r="D108" s="3" t="s">
        <v>594</v>
      </c>
      <c r="E108" s="3" t="s">
        <v>595</v>
      </c>
      <c r="F108" s="3" t="s">
        <v>915</v>
      </c>
      <c r="G108" s="3" t="s">
        <v>916</v>
      </c>
    </row>
    <row r="109" spans="1:7" ht="15" customHeight="1" x14ac:dyDescent="0.2">
      <c r="A109" s="15" t="s">
        <v>917</v>
      </c>
      <c r="B109" s="3" t="s">
        <v>592</v>
      </c>
      <c r="C109" s="3" t="s">
        <v>593</v>
      </c>
      <c r="D109" s="3" t="s">
        <v>594</v>
      </c>
      <c r="E109" s="3" t="s">
        <v>595</v>
      </c>
      <c r="F109" s="3" t="s">
        <v>918</v>
      </c>
      <c r="G109" s="3" t="s">
        <v>919</v>
      </c>
    </row>
    <row r="110" spans="1:7" ht="15" customHeight="1" x14ac:dyDescent="0.2">
      <c r="A110" s="14" t="s">
        <v>920</v>
      </c>
      <c r="B110" s="3" t="s">
        <v>592</v>
      </c>
      <c r="C110" s="3" t="s">
        <v>593</v>
      </c>
      <c r="D110" s="3" t="s">
        <v>594</v>
      </c>
      <c r="E110" s="3" t="s">
        <v>595</v>
      </c>
      <c r="F110" s="3" t="s">
        <v>921</v>
      </c>
      <c r="G110" s="3" t="s">
        <v>922</v>
      </c>
    </row>
    <row r="111" spans="1:7" ht="15" customHeight="1" x14ac:dyDescent="0.2">
      <c r="A111" s="15" t="s">
        <v>923</v>
      </c>
      <c r="B111" s="3" t="s">
        <v>592</v>
      </c>
      <c r="C111" s="3" t="s">
        <v>593</v>
      </c>
      <c r="D111" s="3" t="s">
        <v>594</v>
      </c>
      <c r="E111" s="3" t="s">
        <v>595</v>
      </c>
      <c r="F111" s="3" t="s">
        <v>924</v>
      </c>
      <c r="G111" s="3" t="s">
        <v>925</v>
      </c>
    </row>
    <row r="112" spans="1:7" ht="15" customHeight="1" x14ac:dyDescent="0.2">
      <c r="A112" s="15" t="s">
        <v>926</v>
      </c>
      <c r="B112" s="3" t="s">
        <v>592</v>
      </c>
      <c r="C112" s="3" t="s">
        <v>593</v>
      </c>
      <c r="D112" s="3" t="s">
        <v>594</v>
      </c>
      <c r="E112" s="3" t="s">
        <v>776</v>
      </c>
      <c r="F112" s="3" t="s">
        <v>927</v>
      </c>
      <c r="G112" s="3" t="s">
        <v>928</v>
      </c>
    </row>
    <row r="113" spans="1:7" ht="15" customHeight="1" x14ac:dyDescent="0.2">
      <c r="A113" s="15" t="s">
        <v>929</v>
      </c>
      <c r="B113" s="3" t="s">
        <v>592</v>
      </c>
      <c r="C113" s="3" t="s">
        <v>593</v>
      </c>
      <c r="D113" s="3" t="s">
        <v>594</v>
      </c>
      <c r="E113" s="3" t="s">
        <v>595</v>
      </c>
      <c r="F113" s="3" t="s">
        <v>930</v>
      </c>
      <c r="G113" s="3" t="s">
        <v>931</v>
      </c>
    </row>
    <row r="114" spans="1:7" ht="15" customHeight="1" x14ac:dyDescent="0.2">
      <c r="A114" s="15" t="s">
        <v>932</v>
      </c>
      <c r="B114" s="3" t="s">
        <v>592</v>
      </c>
      <c r="C114" s="3" t="s">
        <v>593</v>
      </c>
      <c r="D114" s="3" t="s">
        <v>594</v>
      </c>
      <c r="E114" s="3" t="s">
        <v>595</v>
      </c>
      <c r="F114" s="3" t="s">
        <v>933</v>
      </c>
      <c r="G114" s="3" t="s">
        <v>934</v>
      </c>
    </row>
    <row r="115" spans="1:7" ht="15" customHeight="1" x14ac:dyDescent="0.2">
      <c r="A115" s="15" t="s">
        <v>935</v>
      </c>
      <c r="B115" s="3" t="s">
        <v>592</v>
      </c>
      <c r="C115" s="3" t="s">
        <v>593</v>
      </c>
      <c r="D115" s="3" t="s">
        <v>594</v>
      </c>
      <c r="E115" s="3" t="s">
        <v>595</v>
      </c>
      <c r="F115" s="3" t="s">
        <v>936</v>
      </c>
      <c r="G115" s="3" t="s">
        <v>937</v>
      </c>
    </row>
    <row r="116" spans="1:7" ht="15" customHeight="1" x14ac:dyDescent="0.2">
      <c r="A116" s="15" t="s">
        <v>938</v>
      </c>
      <c r="B116" s="3" t="s">
        <v>592</v>
      </c>
      <c r="C116" s="3" t="s">
        <v>593</v>
      </c>
      <c r="D116" s="3" t="s">
        <v>594</v>
      </c>
      <c r="E116" s="3" t="s">
        <v>776</v>
      </c>
      <c r="F116" s="3" t="s">
        <v>939</v>
      </c>
      <c r="G116" s="3" t="s">
        <v>940</v>
      </c>
    </row>
    <row r="117" spans="1:7" ht="15" customHeight="1" x14ac:dyDescent="0.2">
      <c r="A117" s="15" t="s">
        <v>941</v>
      </c>
      <c r="B117" s="3" t="s">
        <v>592</v>
      </c>
      <c r="C117" s="3" t="s">
        <v>593</v>
      </c>
      <c r="D117" s="3" t="s">
        <v>594</v>
      </c>
      <c r="E117" s="3" t="s">
        <v>595</v>
      </c>
      <c r="F117" s="3" t="s">
        <v>942</v>
      </c>
      <c r="G117" s="3" t="s">
        <v>943</v>
      </c>
    </row>
    <row r="118" spans="1:7" ht="15" customHeight="1" x14ac:dyDescent="0.2">
      <c r="A118" s="15" t="s">
        <v>944</v>
      </c>
      <c r="B118" s="3" t="s">
        <v>592</v>
      </c>
      <c r="C118" s="3" t="s">
        <v>593</v>
      </c>
      <c r="D118" s="3" t="s">
        <v>594</v>
      </c>
      <c r="E118" s="3" t="s">
        <v>595</v>
      </c>
      <c r="F118" s="3" t="s">
        <v>945</v>
      </c>
      <c r="G118" s="3" t="s">
        <v>946</v>
      </c>
    </row>
    <row r="119" spans="1:7" ht="15" customHeight="1" x14ac:dyDescent="0.2">
      <c r="A119" s="15" t="s">
        <v>947</v>
      </c>
      <c r="B119" s="3" t="s">
        <v>592</v>
      </c>
      <c r="C119" s="3" t="s">
        <v>593</v>
      </c>
      <c r="D119" s="3" t="s">
        <v>594</v>
      </c>
      <c r="E119" s="3" t="s">
        <v>595</v>
      </c>
      <c r="F119" s="3" t="s">
        <v>948</v>
      </c>
      <c r="G119" s="3" t="s">
        <v>949</v>
      </c>
    </row>
    <row r="120" spans="1:7" ht="15" customHeight="1" x14ac:dyDescent="0.2">
      <c r="A120" s="15" t="s">
        <v>950</v>
      </c>
      <c r="B120" s="3" t="s">
        <v>592</v>
      </c>
      <c r="C120" s="3" t="s">
        <v>593</v>
      </c>
      <c r="D120" s="3" t="s">
        <v>594</v>
      </c>
      <c r="E120" s="3" t="s">
        <v>595</v>
      </c>
      <c r="F120" s="3" t="s">
        <v>951</v>
      </c>
      <c r="G120" s="3" t="s">
        <v>952</v>
      </c>
    </row>
    <row r="121" spans="1:7" ht="15" customHeight="1" x14ac:dyDescent="0.2">
      <c r="A121" s="15" t="s">
        <v>953</v>
      </c>
      <c r="B121" s="3" t="s">
        <v>592</v>
      </c>
      <c r="C121" s="3" t="s">
        <v>593</v>
      </c>
      <c r="D121" s="3" t="s">
        <v>594</v>
      </c>
      <c r="E121" s="3" t="s">
        <v>595</v>
      </c>
      <c r="F121" s="3" t="s">
        <v>954</v>
      </c>
      <c r="G121" s="3" t="s">
        <v>955</v>
      </c>
    </row>
    <row r="122" spans="1:7" ht="15" customHeight="1" x14ac:dyDescent="0.2">
      <c r="A122" s="15" t="s">
        <v>956</v>
      </c>
      <c r="B122" s="3" t="s">
        <v>592</v>
      </c>
      <c r="C122" s="3" t="s">
        <v>593</v>
      </c>
      <c r="D122" s="3" t="s">
        <v>594</v>
      </c>
      <c r="E122" s="3" t="s">
        <v>595</v>
      </c>
      <c r="F122" s="3" t="s">
        <v>957</v>
      </c>
      <c r="G122" s="3" t="s">
        <v>958</v>
      </c>
    </row>
    <row r="123" spans="1:7" ht="15" customHeight="1" x14ac:dyDescent="0.2">
      <c r="A123" s="14" t="s">
        <v>959</v>
      </c>
      <c r="B123" s="3" t="s">
        <v>592</v>
      </c>
      <c r="C123" s="3" t="s">
        <v>593</v>
      </c>
      <c r="D123" s="3" t="s">
        <v>594</v>
      </c>
      <c r="E123" s="3" t="s">
        <v>595</v>
      </c>
      <c r="F123" s="3" t="s">
        <v>960</v>
      </c>
      <c r="G123" s="3" t="s">
        <v>961</v>
      </c>
    </row>
    <row r="124" spans="1:7" ht="15" customHeight="1" x14ac:dyDescent="0.2">
      <c r="A124" s="15" t="s">
        <v>962</v>
      </c>
      <c r="B124" s="3" t="s">
        <v>592</v>
      </c>
      <c r="C124" s="3" t="s">
        <v>593</v>
      </c>
      <c r="D124" s="3" t="s">
        <v>594</v>
      </c>
      <c r="E124" s="3" t="s">
        <v>595</v>
      </c>
      <c r="F124" s="3" t="s">
        <v>963</v>
      </c>
      <c r="G124" s="3" t="s">
        <v>964</v>
      </c>
    </row>
    <row r="125" spans="1:7" ht="15" customHeight="1" x14ac:dyDescent="0.2">
      <c r="A125" s="15" t="s">
        <v>965</v>
      </c>
      <c r="B125" s="3" t="s">
        <v>592</v>
      </c>
      <c r="C125" s="3" t="s">
        <v>593</v>
      </c>
      <c r="D125" s="3" t="s">
        <v>594</v>
      </c>
      <c r="E125" s="3" t="s">
        <v>595</v>
      </c>
      <c r="F125" s="3" t="s">
        <v>966</v>
      </c>
      <c r="G125" s="3" t="s">
        <v>967</v>
      </c>
    </row>
    <row r="126" spans="1:7" ht="15" customHeight="1" x14ac:dyDescent="0.2">
      <c r="A126" s="15" t="s">
        <v>968</v>
      </c>
      <c r="B126" s="3" t="s">
        <v>592</v>
      </c>
      <c r="C126" s="3" t="s">
        <v>593</v>
      </c>
      <c r="D126" s="3" t="s">
        <v>594</v>
      </c>
      <c r="E126" s="3" t="s">
        <v>595</v>
      </c>
      <c r="F126" s="3" t="s">
        <v>969</v>
      </c>
      <c r="G126" s="3" t="s">
        <v>970</v>
      </c>
    </row>
    <row r="127" spans="1:7" ht="15" customHeight="1" x14ac:dyDescent="0.2">
      <c r="A127" s="15" t="s">
        <v>971</v>
      </c>
      <c r="B127" s="3" t="s">
        <v>592</v>
      </c>
      <c r="C127" s="3" t="s">
        <v>593</v>
      </c>
      <c r="D127" s="3" t="s">
        <v>594</v>
      </c>
      <c r="E127" s="3" t="s">
        <v>595</v>
      </c>
      <c r="F127" s="3" t="s">
        <v>972</v>
      </c>
      <c r="G127" s="3" t="s">
        <v>973</v>
      </c>
    </row>
    <row r="128" spans="1:7" ht="15" customHeight="1" x14ac:dyDescent="0.2">
      <c r="A128" s="15" t="s">
        <v>974</v>
      </c>
      <c r="B128" s="3" t="s">
        <v>592</v>
      </c>
      <c r="C128" s="3" t="s">
        <v>593</v>
      </c>
      <c r="D128" s="3" t="s">
        <v>594</v>
      </c>
      <c r="E128" s="3" t="s">
        <v>595</v>
      </c>
      <c r="F128" s="3" t="s">
        <v>975</v>
      </c>
      <c r="G128" s="3" t="s">
        <v>976</v>
      </c>
    </row>
    <row r="129" spans="1:7" ht="15" customHeight="1" x14ac:dyDescent="0.2">
      <c r="A129" s="15" t="s">
        <v>977</v>
      </c>
      <c r="B129" s="3" t="s">
        <v>592</v>
      </c>
      <c r="C129" s="3" t="s">
        <v>593</v>
      </c>
      <c r="D129" s="3" t="s">
        <v>594</v>
      </c>
      <c r="E129" s="3" t="s">
        <v>595</v>
      </c>
      <c r="F129" s="3" t="s">
        <v>978</v>
      </c>
      <c r="G129" s="3" t="s">
        <v>979</v>
      </c>
    </row>
    <row r="130" spans="1:7" ht="15" customHeight="1" x14ac:dyDescent="0.2">
      <c r="A130" s="15" t="s">
        <v>980</v>
      </c>
      <c r="B130" s="3" t="s">
        <v>592</v>
      </c>
      <c r="C130" s="3" t="s">
        <v>593</v>
      </c>
      <c r="D130" s="3" t="s">
        <v>594</v>
      </c>
      <c r="E130" s="3" t="s">
        <v>595</v>
      </c>
      <c r="F130" s="3" t="s">
        <v>981</v>
      </c>
      <c r="G130" s="3" t="s">
        <v>982</v>
      </c>
    </row>
    <row r="131" spans="1:7" ht="15" customHeight="1" x14ac:dyDescent="0.2">
      <c r="A131" s="15" t="s">
        <v>983</v>
      </c>
      <c r="B131" s="3" t="s">
        <v>592</v>
      </c>
      <c r="C131" s="3" t="s">
        <v>593</v>
      </c>
      <c r="D131" s="3" t="s">
        <v>594</v>
      </c>
      <c r="E131" s="3" t="s">
        <v>595</v>
      </c>
      <c r="F131" s="3" t="s">
        <v>984</v>
      </c>
      <c r="G131" s="3" t="s">
        <v>985</v>
      </c>
    </row>
    <row r="132" spans="1:7" ht="15" customHeight="1" x14ac:dyDescent="0.2">
      <c r="A132" s="15" t="s">
        <v>986</v>
      </c>
      <c r="B132" s="3" t="s">
        <v>592</v>
      </c>
      <c r="C132" s="3" t="s">
        <v>593</v>
      </c>
      <c r="D132" s="3" t="s">
        <v>594</v>
      </c>
      <c r="E132" s="3" t="s">
        <v>595</v>
      </c>
      <c r="F132" s="3" t="s">
        <v>987</v>
      </c>
      <c r="G132" s="3" t="s">
        <v>988</v>
      </c>
    </row>
    <row r="133" spans="1:7" ht="15" customHeight="1" x14ac:dyDescent="0.2">
      <c r="A133" s="15" t="s">
        <v>989</v>
      </c>
      <c r="B133" s="3" t="s">
        <v>592</v>
      </c>
      <c r="C133" s="3" t="s">
        <v>593</v>
      </c>
      <c r="D133" s="3" t="s">
        <v>594</v>
      </c>
      <c r="E133" s="3" t="s">
        <v>595</v>
      </c>
      <c r="F133" s="3" t="s">
        <v>990</v>
      </c>
      <c r="G133" s="3" t="s">
        <v>991</v>
      </c>
    </row>
    <row r="134" spans="1:7" ht="15" customHeight="1" x14ac:dyDescent="0.2">
      <c r="A134" s="15" t="s">
        <v>992</v>
      </c>
      <c r="B134" s="3" t="s">
        <v>592</v>
      </c>
      <c r="C134" s="3" t="s">
        <v>593</v>
      </c>
      <c r="D134" s="3" t="s">
        <v>594</v>
      </c>
      <c r="E134" s="3" t="s">
        <v>595</v>
      </c>
      <c r="F134" s="3" t="s">
        <v>993</v>
      </c>
      <c r="G134" s="3" t="s">
        <v>994</v>
      </c>
    </row>
    <row r="135" spans="1:7" ht="15" customHeight="1" x14ac:dyDescent="0.2">
      <c r="A135" s="15" t="s">
        <v>995</v>
      </c>
      <c r="B135" s="3" t="s">
        <v>592</v>
      </c>
      <c r="C135" s="3" t="s">
        <v>593</v>
      </c>
      <c r="D135" s="3" t="s">
        <v>594</v>
      </c>
      <c r="E135" s="3" t="s">
        <v>595</v>
      </c>
      <c r="F135" s="3" t="s">
        <v>996</v>
      </c>
      <c r="G135" s="3" t="s">
        <v>997</v>
      </c>
    </row>
    <row r="136" spans="1:7" ht="15" customHeight="1" x14ac:dyDescent="0.2">
      <c r="A136" s="15" t="s">
        <v>998</v>
      </c>
      <c r="B136" s="3" t="s">
        <v>592</v>
      </c>
      <c r="C136" s="3" t="s">
        <v>593</v>
      </c>
      <c r="D136" s="3" t="s">
        <v>594</v>
      </c>
      <c r="E136" s="3" t="s">
        <v>595</v>
      </c>
      <c r="F136" s="3" t="s">
        <v>999</v>
      </c>
      <c r="G136" s="3" t="s">
        <v>1000</v>
      </c>
    </row>
    <row r="137" spans="1:7" ht="15" customHeight="1" x14ac:dyDescent="0.2">
      <c r="A137" s="15" t="s">
        <v>1001</v>
      </c>
      <c r="B137" s="3" t="s">
        <v>592</v>
      </c>
      <c r="C137" s="3" t="s">
        <v>593</v>
      </c>
      <c r="D137" s="3" t="s">
        <v>594</v>
      </c>
      <c r="E137" s="3" t="s">
        <v>595</v>
      </c>
      <c r="F137" s="3" t="s">
        <v>1002</v>
      </c>
      <c r="G137" s="3" t="s">
        <v>1003</v>
      </c>
    </row>
    <row r="138" spans="1:7" ht="15" customHeight="1" x14ac:dyDescent="0.2">
      <c r="A138" s="15" t="s">
        <v>1004</v>
      </c>
      <c r="B138" s="3" t="s">
        <v>592</v>
      </c>
      <c r="C138" s="3" t="s">
        <v>593</v>
      </c>
      <c r="D138" s="3" t="s">
        <v>594</v>
      </c>
      <c r="E138" s="3" t="s">
        <v>595</v>
      </c>
      <c r="F138" s="3" t="s">
        <v>1005</v>
      </c>
      <c r="G138" s="3" t="s">
        <v>1006</v>
      </c>
    </row>
    <row r="139" spans="1:7" ht="15" customHeight="1" x14ac:dyDescent="0.2">
      <c r="A139" s="15" t="s">
        <v>1007</v>
      </c>
      <c r="B139" s="3" t="s">
        <v>592</v>
      </c>
      <c r="C139" s="3" t="s">
        <v>593</v>
      </c>
      <c r="D139" s="3" t="s">
        <v>594</v>
      </c>
      <c r="E139" s="3" t="s">
        <v>595</v>
      </c>
      <c r="F139" s="3" t="s">
        <v>1008</v>
      </c>
      <c r="G139" s="3" t="s">
        <v>1009</v>
      </c>
    </row>
    <row r="140" spans="1:7" ht="15" customHeight="1" x14ac:dyDescent="0.2">
      <c r="A140" s="15" t="s">
        <v>1010</v>
      </c>
      <c r="B140" s="3" t="s">
        <v>592</v>
      </c>
      <c r="C140" s="3" t="s">
        <v>593</v>
      </c>
      <c r="D140" s="3" t="s">
        <v>594</v>
      </c>
      <c r="E140" s="3" t="s">
        <v>595</v>
      </c>
      <c r="F140" s="3" t="s">
        <v>1011</v>
      </c>
      <c r="G140" s="3" t="s">
        <v>1012</v>
      </c>
    </row>
    <row r="141" spans="1:7" ht="15" customHeight="1" x14ac:dyDescent="0.2">
      <c r="A141" s="15" t="s">
        <v>1013</v>
      </c>
      <c r="B141" s="3" t="s">
        <v>592</v>
      </c>
      <c r="C141" s="3" t="s">
        <v>593</v>
      </c>
      <c r="D141" s="3" t="s">
        <v>594</v>
      </c>
      <c r="E141" s="3" t="s">
        <v>595</v>
      </c>
      <c r="F141" s="3" t="s">
        <v>1014</v>
      </c>
      <c r="G141" s="3" t="s">
        <v>1015</v>
      </c>
    </row>
    <row r="142" spans="1:7" ht="15" customHeight="1" x14ac:dyDescent="0.2">
      <c r="A142" s="15" t="s">
        <v>1016</v>
      </c>
      <c r="B142" s="3" t="s">
        <v>592</v>
      </c>
      <c r="C142" s="3" t="s">
        <v>593</v>
      </c>
      <c r="D142" s="3" t="s">
        <v>594</v>
      </c>
      <c r="E142" s="3" t="s">
        <v>595</v>
      </c>
      <c r="F142" s="3" t="s">
        <v>1017</v>
      </c>
      <c r="G142" s="3" t="s">
        <v>1018</v>
      </c>
    </row>
    <row r="143" spans="1:7" ht="15" customHeight="1" x14ac:dyDescent="0.2">
      <c r="A143" s="15" t="s">
        <v>1019</v>
      </c>
      <c r="B143" s="3" t="s">
        <v>592</v>
      </c>
      <c r="C143" s="3" t="s">
        <v>593</v>
      </c>
      <c r="D143" s="3" t="s">
        <v>594</v>
      </c>
      <c r="E143" s="3" t="s">
        <v>595</v>
      </c>
      <c r="F143" s="3" t="s">
        <v>1020</v>
      </c>
      <c r="G143" s="3" t="s">
        <v>1021</v>
      </c>
    </row>
    <row r="144" spans="1:7" ht="15" customHeight="1" x14ac:dyDescent="0.2">
      <c r="A144" s="15" t="s">
        <v>1022</v>
      </c>
      <c r="B144" s="3" t="s">
        <v>592</v>
      </c>
      <c r="C144" s="3" t="s">
        <v>593</v>
      </c>
      <c r="D144" s="3" t="s">
        <v>594</v>
      </c>
      <c r="E144" s="3" t="s">
        <v>595</v>
      </c>
      <c r="F144" s="3" t="s">
        <v>1023</v>
      </c>
      <c r="G144" s="3" t="s">
        <v>1024</v>
      </c>
    </row>
    <row r="145" spans="1:7" ht="15" customHeight="1" x14ac:dyDescent="0.2">
      <c r="A145" s="15" t="s">
        <v>1025</v>
      </c>
      <c r="B145" s="3" t="s">
        <v>592</v>
      </c>
      <c r="C145" s="3" t="s">
        <v>593</v>
      </c>
      <c r="D145" s="3" t="s">
        <v>594</v>
      </c>
      <c r="E145" s="3" t="s">
        <v>595</v>
      </c>
      <c r="F145" s="3" t="s">
        <v>1026</v>
      </c>
      <c r="G145" s="3" t="s">
        <v>1027</v>
      </c>
    </row>
    <row r="146" spans="1:7" ht="15" customHeight="1" x14ac:dyDescent="0.2">
      <c r="A146" s="15" t="s">
        <v>1028</v>
      </c>
      <c r="B146" s="3" t="s">
        <v>592</v>
      </c>
      <c r="C146" s="3" t="s">
        <v>593</v>
      </c>
      <c r="D146" s="3" t="s">
        <v>594</v>
      </c>
      <c r="E146" s="3" t="s">
        <v>595</v>
      </c>
      <c r="F146" s="3" t="s">
        <v>1029</v>
      </c>
      <c r="G146" s="3" t="s">
        <v>1030</v>
      </c>
    </row>
    <row r="147" spans="1:7" ht="15" customHeight="1" x14ac:dyDescent="0.2">
      <c r="A147" s="15" t="s">
        <v>1031</v>
      </c>
      <c r="B147" s="3" t="s">
        <v>592</v>
      </c>
      <c r="C147" s="3" t="s">
        <v>593</v>
      </c>
      <c r="D147" s="3" t="s">
        <v>594</v>
      </c>
      <c r="E147" s="3" t="s">
        <v>595</v>
      </c>
      <c r="F147" s="3" t="s">
        <v>1032</v>
      </c>
      <c r="G147" s="3" t="s">
        <v>1033</v>
      </c>
    </row>
    <row r="148" spans="1:7" ht="15" customHeight="1" x14ac:dyDescent="0.2">
      <c r="A148" s="15" t="s">
        <v>1034</v>
      </c>
      <c r="B148" s="3" t="s">
        <v>592</v>
      </c>
      <c r="C148" s="3" t="s">
        <v>593</v>
      </c>
      <c r="D148" s="3" t="s">
        <v>594</v>
      </c>
      <c r="E148" s="3" t="s">
        <v>595</v>
      </c>
      <c r="F148" s="3" t="s">
        <v>1035</v>
      </c>
      <c r="G148" s="3" t="s">
        <v>1036</v>
      </c>
    </row>
    <row r="149" spans="1:7" ht="15" customHeight="1" x14ac:dyDescent="0.2">
      <c r="A149" s="15" t="s">
        <v>1037</v>
      </c>
      <c r="B149" s="3" t="s">
        <v>592</v>
      </c>
      <c r="C149" s="3" t="s">
        <v>593</v>
      </c>
      <c r="D149" s="3" t="s">
        <v>594</v>
      </c>
      <c r="E149" s="3" t="s">
        <v>595</v>
      </c>
      <c r="F149" s="3" t="s">
        <v>1038</v>
      </c>
      <c r="G149" s="3" t="s">
        <v>1039</v>
      </c>
    </row>
    <row r="150" spans="1:7" ht="15" customHeight="1" x14ac:dyDescent="0.2">
      <c r="A150" s="15" t="s">
        <v>1040</v>
      </c>
      <c r="B150" s="3" t="s">
        <v>592</v>
      </c>
      <c r="C150" s="3" t="s">
        <v>593</v>
      </c>
      <c r="D150" s="3" t="s">
        <v>594</v>
      </c>
      <c r="E150" s="3" t="s">
        <v>595</v>
      </c>
      <c r="F150" s="3" t="s">
        <v>1041</v>
      </c>
      <c r="G150" s="3" t="s">
        <v>1042</v>
      </c>
    </row>
    <row r="151" spans="1:7" ht="15" customHeight="1" x14ac:dyDescent="0.2">
      <c r="A151" s="15" t="s">
        <v>1043</v>
      </c>
      <c r="B151" s="3" t="s">
        <v>592</v>
      </c>
      <c r="C151" s="3" t="s">
        <v>593</v>
      </c>
      <c r="D151" s="3" t="s">
        <v>594</v>
      </c>
      <c r="E151" s="3" t="s">
        <v>595</v>
      </c>
      <c r="F151" s="3" t="s">
        <v>1044</v>
      </c>
      <c r="G151" s="3" t="s">
        <v>1045</v>
      </c>
    </row>
    <row r="152" spans="1:7" ht="15" customHeight="1" x14ac:dyDescent="0.2">
      <c r="A152" s="15" t="s">
        <v>1046</v>
      </c>
      <c r="B152" s="3" t="s">
        <v>592</v>
      </c>
      <c r="C152" s="3" t="s">
        <v>593</v>
      </c>
      <c r="D152" s="3" t="s">
        <v>594</v>
      </c>
      <c r="E152" s="3" t="s">
        <v>595</v>
      </c>
      <c r="F152" s="3" t="s">
        <v>1047</v>
      </c>
      <c r="G152" s="3" t="s">
        <v>1048</v>
      </c>
    </row>
    <row r="153" spans="1:7" ht="15" customHeight="1" x14ac:dyDescent="0.2">
      <c r="A153" s="15" t="s">
        <v>1049</v>
      </c>
      <c r="B153" s="3" t="s">
        <v>592</v>
      </c>
      <c r="C153" s="3" t="s">
        <v>593</v>
      </c>
      <c r="D153" s="3" t="s">
        <v>594</v>
      </c>
      <c r="E153" s="3" t="s">
        <v>595</v>
      </c>
      <c r="F153" s="3" t="s">
        <v>1050</v>
      </c>
      <c r="G153" s="3" t="s">
        <v>1051</v>
      </c>
    </row>
    <row r="154" spans="1:7" ht="15" customHeight="1" x14ac:dyDescent="0.2">
      <c r="A154" s="15" t="s">
        <v>1052</v>
      </c>
      <c r="B154" s="3" t="s">
        <v>592</v>
      </c>
      <c r="C154" s="3" t="s">
        <v>593</v>
      </c>
      <c r="D154" s="3" t="s">
        <v>594</v>
      </c>
      <c r="E154" s="3" t="s">
        <v>595</v>
      </c>
      <c r="F154" s="3" t="s">
        <v>1053</v>
      </c>
      <c r="G154" s="3" t="s">
        <v>1054</v>
      </c>
    </row>
    <row r="155" spans="1:7" ht="15" customHeight="1" x14ac:dyDescent="0.2">
      <c r="A155" s="15" t="s">
        <v>1055</v>
      </c>
      <c r="B155" s="3" t="s">
        <v>592</v>
      </c>
      <c r="C155" s="3" t="s">
        <v>593</v>
      </c>
      <c r="D155" s="3" t="s">
        <v>594</v>
      </c>
      <c r="E155" s="3" t="s">
        <v>595</v>
      </c>
      <c r="F155" s="3" t="s">
        <v>1056</v>
      </c>
      <c r="G155" s="3" t="s">
        <v>1057</v>
      </c>
    </row>
    <row r="156" spans="1:7" ht="15" customHeight="1" x14ac:dyDescent="0.2">
      <c r="A156" s="15" t="s">
        <v>1058</v>
      </c>
      <c r="B156" s="3" t="s">
        <v>592</v>
      </c>
      <c r="C156" s="3" t="s">
        <v>593</v>
      </c>
      <c r="D156" s="3" t="s">
        <v>594</v>
      </c>
      <c r="E156" s="3" t="s">
        <v>595</v>
      </c>
      <c r="F156" s="3" t="s">
        <v>1059</v>
      </c>
      <c r="G156" s="3" t="s">
        <v>1060</v>
      </c>
    </row>
    <row r="157" spans="1:7" ht="15" customHeight="1" x14ac:dyDescent="0.2">
      <c r="A157" s="15" t="s">
        <v>1061</v>
      </c>
      <c r="B157" s="3" t="s">
        <v>592</v>
      </c>
      <c r="C157" s="3" t="s">
        <v>593</v>
      </c>
      <c r="D157" s="3" t="s">
        <v>594</v>
      </c>
      <c r="E157" s="3" t="s">
        <v>595</v>
      </c>
      <c r="F157" s="3" t="s">
        <v>1062</v>
      </c>
      <c r="G157" s="3" t="s">
        <v>1063</v>
      </c>
    </row>
    <row r="158" spans="1:7" ht="15" customHeight="1" x14ac:dyDescent="0.2">
      <c r="A158" s="15" t="s">
        <v>1064</v>
      </c>
      <c r="B158" s="3" t="s">
        <v>592</v>
      </c>
      <c r="C158" s="3" t="s">
        <v>593</v>
      </c>
      <c r="D158" s="3" t="s">
        <v>594</v>
      </c>
      <c r="E158" s="3" t="s">
        <v>776</v>
      </c>
      <c r="F158" s="3" t="s">
        <v>1065</v>
      </c>
      <c r="G158" s="3" t="s">
        <v>1066</v>
      </c>
    </row>
    <row r="159" spans="1:7" ht="15" customHeight="1" x14ac:dyDescent="0.2">
      <c r="A159" s="15" t="s">
        <v>1067</v>
      </c>
      <c r="B159" s="3" t="s">
        <v>592</v>
      </c>
      <c r="C159" s="3" t="s">
        <v>593</v>
      </c>
      <c r="D159" s="3" t="s">
        <v>594</v>
      </c>
      <c r="E159" s="3" t="s">
        <v>595</v>
      </c>
      <c r="F159" s="3" t="s">
        <v>1068</v>
      </c>
      <c r="G159" s="3" t="s">
        <v>1069</v>
      </c>
    </row>
    <row r="160" spans="1:7" ht="15" customHeight="1" x14ac:dyDescent="0.2">
      <c r="A160" s="15" t="s">
        <v>1070</v>
      </c>
      <c r="B160" s="3" t="s">
        <v>592</v>
      </c>
      <c r="C160" s="3" t="s">
        <v>593</v>
      </c>
      <c r="D160" s="3" t="s">
        <v>594</v>
      </c>
      <c r="E160" s="3" t="s">
        <v>595</v>
      </c>
      <c r="F160" s="3" t="s">
        <v>1071</v>
      </c>
      <c r="G160" s="3" t="s">
        <v>1072</v>
      </c>
    </row>
    <row r="161" spans="1:7" ht="15" customHeight="1" x14ac:dyDescent="0.2">
      <c r="A161" s="15" t="s">
        <v>1073</v>
      </c>
      <c r="B161" s="3" t="s">
        <v>592</v>
      </c>
      <c r="C161" s="3" t="s">
        <v>593</v>
      </c>
      <c r="D161" s="3" t="s">
        <v>594</v>
      </c>
      <c r="E161" s="3" t="s">
        <v>595</v>
      </c>
      <c r="F161" s="3" t="s">
        <v>1074</v>
      </c>
      <c r="G161" s="3" t="s">
        <v>1075</v>
      </c>
    </row>
    <row r="162" spans="1:7" ht="15" customHeight="1" x14ac:dyDescent="0.2">
      <c r="A162" s="15" t="s">
        <v>1076</v>
      </c>
      <c r="B162" s="3" t="s">
        <v>592</v>
      </c>
      <c r="C162" s="3" t="s">
        <v>593</v>
      </c>
      <c r="D162" s="3" t="s">
        <v>594</v>
      </c>
      <c r="E162" s="3" t="s">
        <v>595</v>
      </c>
      <c r="F162" s="3" t="s">
        <v>1077</v>
      </c>
      <c r="G162" s="3" t="s">
        <v>1078</v>
      </c>
    </row>
    <row r="163" spans="1:7" ht="15" customHeight="1" x14ac:dyDescent="0.2">
      <c r="A163" s="15" t="s">
        <v>1079</v>
      </c>
      <c r="B163" s="3" t="s">
        <v>592</v>
      </c>
      <c r="C163" s="3" t="s">
        <v>593</v>
      </c>
      <c r="D163" s="3" t="s">
        <v>594</v>
      </c>
      <c r="E163" s="3" t="s">
        <v>595</v>
      </c>
      <c r="F163" s="3" t="s">
        <v>1080</v>
      </c>
      <c r="G163" s="3" t="s">
        <v>1081</v>
      </c>
    </row>
    <row r="164" spans="1:7" ht="15" customHeight="1" x14ac:dyDescent="0.2">
      <c r="A164" s="15" t="s">
        <v>1082</v>
      </c>
      <c r="B164" s="3" t="s">
        <v>592</v>
      </c>
      <c r="C164" s="3" t="s">
        <v>593</v>
      </c>
      <c r="D164" s="3" t="s">
        <v>594</v>
      </c>
      <c r="E164" s="3" t="s">
        <v>595</v>
      </c>
      <c r="F164" s="3" t="s">
        <v>1083</v>
      </c>
      <c r="G164" s="3" t="s">
        <v>1084</v>
      </c>
    </row>
    <row r="165" spans="1:7" ht="15" customHeight="1" x14ac:dyDescent="0.2">
      <c r="A165" s="15" t="s">
        <v>1085</v>
      </c>
      <c r="B165" s="3" t="s">
        <v>592</v>
      </c>
      <c r="C165" s="3" t="s">
        <v>593</v>
      </c>
      <c r="D165" s="3" t="s">
        <v>594</v>
      </c>
      <c r="E165" s="3" t="s">
        <v>595</v>
      </c>
      <c r="F165" s="3" t="s">
        <v>1086</v>
      </c>
      <c r="G165" s="3" t="s">
        <v>1087</v>
      </c>
    </row>
    <row r="166" spans="1:7" ht="15" customHeight="1" x14ac:dyDescent="0.2">
      <c r="A166" s="15" t="s">
        <v>1088</v>
      </c>
      <c r="B166" s="3" t="s">
        <v>592</v>
      </c>
      <c r="C166" s="3" t="s">
        <v>593</v>
      </c>
      <c r="D166" s="3" t="s">
        <v>594</v>
      </c>
      <c r="E166" s="3" t="s">
        <v>595</v>
      </c>
      <c r="F166" s="3" t="s">
        <v>1089</v>
      </c>
      <c r="G166" s="3" t="s">
        <v>1090</v>
      </c>
    </row>
    <row r="167" spans="1:7" ht="15" customHeight="1" x14ac:dyDescent="0.2">
      <c r="A167" s="15" t="s">
        <v>1091</v>
      </c>
      <c r="B167" s="3" t="s">
        <v>592</v>
      </c>
      <c r="C167" s="3" t="s">
        <v>593</v>
      </c>
      <c r="D167" s="3" t="s">
        <v>594</v>
      </c>
      <c r="E167" s="3" t="s">
        <v>595</v>
      </c>
      <c r="F167" s="3" t="s">
        <v>1092</v>
      </c>
      <c r="G167" s="3" t="s">
        <v>1093</v>
      </c>
    </row>
    <row r="168" spans="1:7" ht="15" customHeight="1" x14ac:dyDescent="0.2">
      <c r="A168" s="15" t="s">
        <v>1094</v>
      </c>
      <c r="B168" s="3" t="s">
        <v>592</v>
      </c>
      <c r="C168" s="3" t="s">
        <v>593</v>
      </c>
      <c r="D168" s="3" t="s">
        <v>594</v>
      </c>
      <c r="E168" s="3" t="s">
        <v>595</v>
      </c>
      <c r="F168" s="3" t="s">
        <v>1095</v>
      </c>
      <c r="G168" s="3" t="s">
        <v>1096</v>
      </c>
    </row>
    <row r="169" spans="1:7" ht="15" customHeight="1" x14ac:dyDescent="0.2">
      <c r="A169" s="15" t="s">
        <v>1097</v>
      </c>
      <c r="B169" s="3" t="s">
        <v>592</v>
      </c>
      <c r="C169" s="3" t="s">
        <v>593</v>
      </c>
      <c r="D169" s="3" t="s">
        <v>594</v>
      </c>
      <c r="E169" s="3" t="s">
        <v>595</v>
      </c>
      <c r="F169" s="3" t="s">
        <v>1098</v>
      </c>
      <c r="G169" s="3" t="s">
        <v>1099</v>
      </c>
    </row>
    <row r="170" spans="1:7" ht="15" customHeight="1" x14ac:dyDescent="0.2">
      <c r="A170" s="15" t="s">
        <v>1100</v>
      </c>
      <c r="B170" s="3" t="s">
        <v>592</v>
      </c>
      <c r="C170" s="3" t="s">
        <v>593</v>
      </c>
      <c r="D170" s="3" t="s">
        <v>594</v>
      </c>
      <c r="E170" s="3" t="s">
        <v>595</v>
      </c>
      <c r="F170" s="3" t="s">
        <v>1101</v>
      </c>
      <c r="G170" s="3" t="s">
        <v>1102</v>
      </c>
    </row>
    <row r="171" spans="1:7" ht="15" customHeight="1" x14ac:dyDescent="0.2">
      <c r="A171" s="15" t="s">
        <v>1103</v>
      </c>
      <c r="B171" s="3" t="s">
        <v>592</v>
      </c>
      <c r="C171" s="3" t="s">
        <v>593</v>
      </c>
      <c r="D171" s="3" t="s">
        <v>594</v>
      </c>
      <c r="E171" s="3" t="s">
        <v>595</v>
      </c>
      <c r="F171" s="3" t="s">
        <v>1104</v>
      </c>
      <c r="G171" s="3" t="s">
        <v>1105</v>
      </c>
    </row>
    <row r="172" spans="1:7" ht="15" customHeight="1" x14ac:dyDescent="0.2">
      <c r="A172" s="15" t="s">
        <v>1106</v>
      </c>
      <c r="B172" s="3" t="s">
        <v>592</v>
      </c>
      <c r="C172" s="3" t="s">
        <v>593</v>
      </c>
      <c r="D172" s="3" t="s">
        <v>594</v>
      </c>
      <c r="E172" s="3" t="s">
        <v>595</v>
      </c>
      <c r="F172" s="3" t="s">
        <v>1107</v>
      </c>
      <c r="G172" s="3" t="s">
        <v>1108</v>
      </c>
    </row>
    <row r="173" spans="1:7" ht="15" customHeight="1" x14ac:dyDescent="0.2">
      <c r="A173" s="15" t="s">
        <v>1109</v>
      </c>
      <c r="B173" s="3" t="s">
        <v>592</v>
      </c>
      <c r="C173" s="3" t="s">
        <v>593</v>
      </c>
      <c r="D173" s="3" t="s">
        <v>594</v>
      </c>
      <c r="E173" s="3" t="s">
        <v>595</v>
      </c>
      <c r="F173" s="3" t="s">
        <v>1110</v>
      </c>
      <c r="G173" s="3" t="s">
        <v>1111</v>
      </c>
    </row>
    <row r="174" spans="1:7" ht="15" customHeight="1" x14ac:dyDescent="0.2">
      <c r="A174" s="14" t="s">
        <v>1112</v>
      </c>
      <c r="B174" s="3" t="s">
        <v>592</v>
      </c>
      <c r="C174" s="3" t="s">
        <v>593</v>
      </c>
      <c r="D174" s="3" t="s">
        <v>594</v>
      </c>
      <c r="E174" s="3" t="s">
        <v>595</v>
      </c>
      <c r="F174" s="3" t="s">
        <v>1113</v>
      </c>
      <c r="G174" s="3" t="s">
        <v>1114</v>
      </c>
    </row>
    <row r="175" spans="1:7" ht="15" customHeight="1" x14ac:dyDescent="0.2">
      <c r="A175" s="15" t="s">
        <v>1115</v>
      </c>
      <c r="B175" s="3" t="s">
        <v>592</v>
      </c>
      <c r="C175" s="3" t="s">
        <v>593</v>
      </c>
      <c r="D175" s="3" t="s">
        <v>594</v>
      </c>
      <c r="E175" s="3" t="s">
        <v>776</v>
      </c>
      <c r="F175" s="3" t="s">
        <v>1116</v>
      </c>
      <c r="G175" s="3" t="s">
        <v>1117</v>
      </c>
    </row>
    <row r="176" spans="1:7" ht="15" customHeight="1" x14ac:dyDescent="0.2">
      <c r="A176" s="15" t="s">
        <v>1118</v>
      </c>
      <c r="B176" s="3" t="s">
        <v>592</v>
      </c>
      <c r="C176" s="3" t="s">
        <v>593</v>
      </c>
      <c r="D176" s="3" t="s">
        <v>594</v>
      </c>
      <c r="E176" s="3" t="s">
        <v>595</v>
      </c>
      <c r="F176" s="3" t="s">
        <v>1119</v>
      </c>
      <c r="G176" s="3" t="s">
        <v>1120</v>
      </c>
    </row>
    <row r="177" spans="1:7" ht="15" customHeight="1" x14ac:dyDescent="0.2">
      <c r="A177" s="15" t="s">
        <v>1121</v>
      </c>
      <c r="B177" s="3" t="s">
        <v>592</v>
      </c>
      <c r="C177" s="3" t="s">
        <v>593</v>
      </c>
      <c r="D177" s="3" t="s">
        <v>594</v>
      </c>
      <c r="E177" s="3" t="s">
        <v>776</v>
      </c>
      <c r="F177" s="3" t="s">
        <v>1122</v>
      </c>
      <c r="G177" s="3" t="s">
        <v>1123</v>
      </c>
    </row>
    <row r="178" spans="1:7" ht="15" customHeight="1" x14ac:dyDescent="0.2">
      <c r="A178" s="14" t="s">
        <v>1124</v>
      </c>
      <c r="B178" s="3" t="s">
        <v>592</v>
      </c>
      <c r="C178" s="3" t="s">
        <v>593</v>
      </c>
      <c r="D178" s="3" t="s">
        <v>594</v>
      </c>
      <c r="E178" s="3" t="s">
        <v>595</v>
      </c>
      <c r="F178" s="3" t="s">
        <v>1125</v>
      </c>
      <c r="G178" s="3" t="s">
        <v>1126</v>
      </c>
    </row>
    <row r="179" spans="1:7" ht="15" customHeight="1" x14ac:dyDescent="0.2">
      <c r="A179" s="15" t="s">
        <v>1127</v>
      </c>
      <c r="B179" s="3" t="s">
        <v>592</v>
      </c>
      <c r="C179" s="3" t="s">
        <v>593</v>
      </c>
      <c r="D179" s="3" t="s">
        <v>594</v>
      </c>
      <c r="E179" s="3" t="s">
        <v>595</v>
      </c>
      <c r="F179" s="3" t="s">
        <v>1128</v>
      </c>
      <c r="G179" s="3" t="s">
        <v>1129</v>
      </c>
    </row>
    <row r="180" spans="1:7" ht="15" customHeight="1" x14ac:dyDescent="0.2">
      <c r="A180" s="15" t="s">
        <v>1130</v>
      </c>
      <c r="B180" s="3" t="s">
        <v>592</v>
      </c>
      <c r="C180" s="3" t="s">
        <v>593</v>
      </c>
      <c r="D180" s="3" t="s">
        <v>594</v>
      </c>
      <c r="E180" s="3" t="s">
        <v>595</v>
      </c>
      <c r="F180" s="3" t="s">
        <v>1131</v>
      </c>
      <c r="G180" s="3" t="s">
        <v>1132</v>
      </c>
    </row>
    <row r="181" spans="1:7" ht="15" customHeight="1" x14ac:dyDescent="0.2">
      <c r="A181" s="15" t="s">
        <v>1133</v>
      </c>
      <c r="B181" s="3" t="s">
        <v>592</v>
      </c>
      <c r="C181" s="3" t="s">
        <v>593</v>
      </c>
      <c r="D181" s="3" t="s">
        <v>594</v>
      </c>
      <c r="E181" s="3" t="s">
        <v>595</v>
      </c>
      <c r="F181" s="3" t="s">
        <v>1134</v>
      </c>
      <c r="G181" s="3" t="s">
        <v>1135</v>
      </c>
    </row>
    <row r="182" spans="1:7" ht="15" customHeight="1" x14ac:dyDescent="0.2">
      <c r="A182" s="15" t="s">
        <v>1136</v>
      </c>
      <c r="B182" s="3" t="s">
        <v>592</v>
      </c>
      <c r="C182" s="3" t="s">
        <v>593</v>
      </c>
      <c r="D182" s="3" t="s">
        <v>594</v>
      </c>
      <c r="E182" s="3" t="s">
        <v>595</v>
      </c>
      <c r="F182" s="3" t="s">
        <v>1137</v>
      </c>
      <c r="G182" s="3" t="s">
        <v>1138</v>
      </c>
    </row>
    <row r="183" spans="1:7" ht="15" customHeight="1" x14ac:dyDescent="0.2">
      <c r="A183" s="15" t="s">
        <v>1139</v>
      </c>
      <c r="B183" s="3" t="s">
        <v>592</v>
      </c>
      <c r="C183" s="3" t="s">
        <v>593</v>
      </c>
      <c r="D183" s="3" t="s">
        <v>594</v>
      </c>
      <c r="E183" s="3" t="s">
        <v>595</v>
      </c>
      <c r="F183" s="3" t="s">
        <v>1140</v>
      </c>
      <c r="G183" s="3" t="s">
        <v>1141</v>
      </c>
    </row>
    <row r="184" spans="1:7" ht="15" customHeight="1" x14ac:dyDescent="0.2">
      <c r="A184" s="15" t="s">
        <v>1142</v>
      </c>
      <c r="B184" s="3" t="s">
        <v>592</v>
      </c>
      <c r="C184" s="3" t="s">
        <v>593</v>
      </c>
      <c r="D184" s="3" t="s">
        <v>594</v>
      </c>
      <c r="E184" s="3" t="s">
        <v>595</v>
      </c>
      <c r="F184" s="3" t="s">
        <v>1143</v>
      </c>
      <c r="G184" s="3" t="s">
        <v>1144</v>
      </c>
    </row>
    <row r="185" spans="1:7" ht="15" customHeight="1" x14ac:dyDescent="0.2">
      <c r="A185" s="15" t="s">
        <v>1145</v>
      </c>
      <c r="B185" s="3" t="s">
        <v>592</v>
      </c>
      <c r="C185" s="3" t="s">
        <v>593</v>
      </c>
      <c r="D185" s="3" t="s">
        <v>594</v>
      </c>
      <c r="E185" s="3" t="s">
        <v>595</v>
      </c>
      <c r="F185" s="3" t="s">
        <v>1146</v>
      </c>
      <c r="G185" s="3" t="s">
        <v>1147</v>
      </c>
    </row>
    <row r="186" spans="1:7" ht="15" customHeight="1" x14ac:dyDescent="0.2">
      <c r="A186" s="15" t="s">
        <v>1148</v>
      </c>
      <c r="B186" s="3" t="s">
        <v>592</v>
      </c>
      <c r="C186" s="3" t="s">
        <v>593</v>
      </c>
      <c r="D186" s="3" t="s">
        <v>594</v>
      </c>
      <c r="E186" s="3" t="s">
        <v>595</v>
      </c>
      <c r="F186" s="3" t="s">
        <v>1149</v>
      </c>
      <c r="G186" s="3" t="s">
        <v>1150</v>
      </c>
    </row>
    <row r="187" spans="1:7" ht="15" customHeight="1" x14ac:dyDescent="0.2">
      <c r="A187" s="15" t="s">
        <v>1151</v>
      </c>
      <c r="B187" s="3" t="s">
        <v>592</v>
      </c>
      <c r="C187" s="3" t="s">
        <v>593</v>
      </c>
      <c r="D187" s="3" t="s">
        <v>594</v>
      </c>
      <c r="E187" s="3" t="s">
        <v>595</v>
      </c>
      <c r="F187" s="3" t="s">
        <v>1152</v>
      </c>
      <c r="G187" s="3" t="s">
        <v>1153</v>
      </c>
    </row>
    <row r="188" spans="1:7" ht="15" customHeight="1" x14ac:dyDescent="0.2">
      <c r="A188" s="15" t="s">
        <v>1154</v>
      </c>
      <c r="B188" s="3" t="s">
        <v>592</v>
      </c>
      <c r="C188" s="3" t="s">
        <v>593</v>
      </c>
      <c r="D188" s="3" t="s">
        <v>594</v>
      </c>
      <c r="E188" s="3" t="s">
        <v>595</v>
      </c>
      <c r="F188" s="3" t="s">
        <v>1155</v>
      </c>
      <c r="G188" s="3" t="s">
        <v>1156</v>
      </c>
    </row>
    <row r="189" spans="1:7" ht="15" customHeight="1" x14ac:dyDescent="0.2">
      <c r="A189" s="15" t="s">
        <v>1157</v>
      </c>
      <c r="B189" s="3" t="s">
        <v>592</v>
      </c>
      <c r="C189" s="3" t="s">
        <v>593</v>
      </c>
      <c r="D189" s="3" t="s">
        <v>594</v>
      </c>
      <c r="E189" s="3" t="s">
        <v>595</v>
      </c>
      <c r="F189" s="3" t="s">
        <v>1158</v>
      </c>
      <c r="G189" s="3" t="s">
        <v>1159</v>
      </c>
    </row>
    <row r="191" spans="1:7" ht="41.25" customHeight="1" x14ac:dyDescent="0.2">
      <c r="A191" s="18" t="s">
        <v>1160</v>
      </c>
    </row>
  </sheetData>
  <autoFilter ref="A1:G19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9"/>
  <sheetViews>
    <sheetView zoomScaleNormal="100" workbookViewId="0">
      <pane ySplit="1" topLeftCell="A2" activePane="bottomLeft" state="frozen"/>
      <selection pane="bottomLeft" activeCell="R9" sqref="R9"/>
    </sheetView>
  </sheetViews>
  <sheetFormatPr defaultColWidth="9.14453125" defaultRowHeight="15" x14ac:dyDescent="0.2"/>
  <cols>
    <col min="1" max="16384" width="9.14453125" style="19"/>
  </cols>
  <sheetData>
    <row r="1" spans="1:8" ht="25.5" customHeight="1" x14ac:dyDescent="0.2">
      <c r="A1" s="20" t="s">
        <v>18</v>
      </c>
      <c r="B1" s="20" t="s">
        <v>19</v>
      </c>
      <c r="C1" s="20" t="s">
        <v>1161</v>
      </c>
      <c r="D1" s="20" t="s">
        <v>1162</v>
      </c>
      <c r="E1" s="20" t="s">
        <v>588</v>
      </c>
      <c r="F1" s="20" t="s">
        <v>586</v>
      </c>
      <c r="G1" s="20" t="s">
        <v>585</v>
      </c>
      <c r="H1" s="20" t="s">
        <v>1163</v>
      </c>
    </row>
    <row r="2" spans="1:8" ht="25.5" customHeight="1" x14ac:dyDescent="0.2">
      <c r="A2" s="21">
        <v>1.478</v>
      </c>
      <c r="B2" s="21" t="s">
        <v>1164</v>
      </c>
      <c r="C2" s="21">
        <v>0</v>
      </c>
      <c r="D2" s="21" t="s">
        <v>1165</v>
      </c>
      <c r="E2" s="21" t="s">
        <v>1166</v>
      </c>
      <c r="F2" s="21" t="s">
        <v>593</v>
      </c>
      <c r="G2" s="21" t="s">
        <v>592</v>
      </c>
      <c r="H2" s="22"/>
    </row>
    <row r="3" spans="1:8" ht="25.5" customHeight="1" x14ac:dyDescent="0.2">
      <c r="A3" s="21">
        <v>1.4790000000000001</v>
      </c>
      <c r="B3" s="21" t="s">
        <v>1164</v>
      </c>
      <c r="C3" s="21">
        <v>0</v>
      </c>
      <c r="D3" s="21" t="s">
        <v>1165</v>
      </c>
      <c r="E3" s="21" t="s">
        <v>1166</v>
      </c>
      <c r="F3" s="21" t="s">
        <v>593</v>
      </c>
      <c r="G3" s="21" t="s">
        <v>592</v>
      </c>
      <c r="H3" s="21"/>
    </row>
    <row r="4" spans="1:8" ht="25.5" customHeight="1" x14ac:dyDescent="0.2">
      <c r="A4" s="21">
        <v>1.48</v>
      </c>
      <c r="B4" s="21" t="s">
        <v>1164</v>
      </c>
      <c r="C4" s="21">
        <v>0</v>
      </c>
      <c r="D4" s="21" t="s">
        <v>1165</v>
      </c>
      <c r="E4" s="21" t="s">
        <v>1166</v>
      </c>
      <c r="F4" s="21" t="s">
        <v>593</v>
      </c>
      <c r="G4" s="21" t="s">
        <v>592</v>
      </c>
      <c r="H4" s="21"/>
    </row>
    <row r="5" spans="1:8" ht="25.5" customHeight="1" x14ac:dyDescent="0.2">
      <c r="A5" s="21">
        <v>1.4810000000000001</v>
      </c>
      <c r="B5" s="21" t="s">
        <v>1164</v>
      </c>
      <c r="C5" s="21">
        <v>0</v>
      </c>
      <c r="D5" s="21" t="s">
        <v>1165</v>
      </c>
      <c r="E5" s="21" t="s">
        <v>1166</v>
      </c>
      <c r="F5" s="21" t="s">
        <v>593</v>
      </c>
      <c r="G5" s="21" t="s">
        <v>592</v>
      </c>
      <c r="H5" s="21"/>
    </row>
    <row r="6" spans="1:8" ht="25.5" customHeight="1" x14ac:dyDescent="0.2">
      <c r="A6" s="21">
        <v>1.482</v>
      </c>
      <c r="B6" s="21" t="s">
        <v>1167</v>
      </c>
      <c r="C6" s="21">
        <v>1</v>
      </c>
      <c r="D6" s="21" t="s">
        <v>1165</v>
      </c>
      <c r="E6" s="21" t="s">
        <v>1166</v>
      </c>
      <c r="F6" s="21" t="s">
        <v>593</v>
      </c>
      <c r="G6" s="21" t="s">
        <v>592</v>
      </c>
      <c r="H6" s="21"/>
    </row>
    <row r="7" spans="1:8" ht="25.5" customHeight="1" x14ac:dyDescent="0.2">
      <c r="A7" s="21">
        <v>1.4830000000000001</v>
      </c>
      <c r="B7" s="21" t="s">
        <v>1164</v>
      </c>
      <c r="C7" s="21">
        <v>0</v>
      </c>
      <c r="D7" s="21" t="s">
        <v>1165</v>
      </c>
      <c r="E7" s="21" t="s">
        <v>1166</v>
      </c>
      <c r="F7" s="21" t="s">
        <v>593</v>
      </c>
      <c r="G7" s="21" t="s">
        <v>592</v>
      </c>
      <c r="H7" s="21"/>
    </row>
    <row r="8" spans="1:8" ht="25.5" customHeight="1" x14ac:dyDescent="0.2">
      <c r="A8" s="21">
        <v>1.484</v>
      </c>
      <c r="B8" s="21" t="s">
        <v>1164</v>
      </c>
      <c r="C8" s="21">
        <v>0</v>
      </c>
      <c r="D8" s="21" t="s">
        <v>1165</v>
      </c>
      <c r="E8" s="21" t="s">
        <v>1166</v>
      </c>
      <c r="F8" s="21" t="s">
        <v>593</v>
      </c>
      <c r="G8" s="21" t="s">
        <v>592</v>
      </c>
      <c r="H8" s="21"/>
    </row>
    <row r="9" spans="1:8" ht="25.5" customHeight="1" x14ac:dyDescent="0.2">
      <c r="A9" s="21">
        <v>1.4850000000000001</v>
      </c>
      <c r="B9" s="21" t="s">
        <v>1164</v>
      </c>
      <c r="C9" s="21">
        <v>0</v>
      </c>
      <c r="D9" s="21" t="s">
        <v>1165</v>
      </c>
      <c r="E9" s="21" t="s">
        <v>1166</v>
      </c>
      <c r="F9" s="21" t="s">
        <v>593</v>
      </c>
      <c r="G9" s="21" t="s">
        <v>592</v>
      </c>
      <c r="H9" s="21"/>
    </row>
    <row r="10" spans="1:8" ht="25.5" customHeight="1" x14ac:dyDescent="0.2">
      <c r="A10" s="21">
        <v>1.486</v>
      </c>
      <c r="B10" s="21" t="s">
        <v>1164</v>
      </c>
      <c r="C10" s="21">
        <v>0</v>
      </c>
      <c r="D10" s="21" t="s">
        <v>1165</v>
      </c>
      <c r="E10" s="21" t="s">
        <v>1166</v>
      </c>
      <c r="F10" s="21" t="s">
        <v>593</v>
      </c>
      <c r="G10" s="21" t="s">
        <v>592</v>
      </c>
      <c r="H10" s="21"/>
    </row>
    <row r="11" spans="1:8" ht="25.5" customHeight="1" x14ac:dyDescent="0.2">
      <c r="A11" s="21">
        <v>1.4870000000000001</v>
      </c>
      <c r="B11" s="21" t="s">
        <v>1167</v>
      </c>
      <c r="C11" s="21">
        <v>1</v>
      </c>
      <c r="D11" s="21" t="s">
        <v>1165</v>
      </c>
      <c r="E11" s="21" t="s">
        <v>1166</v>
      </c>
      <c r="F11" s="21" t="s">
        <v>593</v>
      </c>
      <c r="G11" s="21" t="s">
        <v>592</v>
      </c>
      <c r="H11" s="21"/>
    </row>
    <row r="12" spans="1:8" ht="25.5" customHeight="1" x14ac:dyDescent="0.2">
      <c r="A12" s="21">
        <v>1.488</v>
      </c>
      <c r="B12" s="21" t="s">
        <v>1164</v>
      </c>
      <c r="C12" s="21">
        <v>0</v>
      </c>
      <c r="D12" s="21" t="s">
        <v>1165</v>
      </c>
      <c r="E12" s="21" t="s">
        <v>1166</v>
      </c>
      <c r="F12" s="21" t="s">
        <v>593</v>
      </c>
      <c r="G12" s="21" t="s">
        <v>592</v>
      </c>
      <c r="H12" s="21"/>
    </row>
    <row r="13" spans="1:8" ht="25.5" customHeight="1" x14ac:dyDescent="0.2">
      <c r="A13" s="21">
        <v>1.4890000000000001</v>
      </c>
      <c r="B13" s="21" t="s">
        <v>1167</v>
      </c>
      <c r="C13" s="21">
        <v>1</v>
      </c>
      <c r="D13" s="21" t="s">
        <v>1165</v>
      </c>
      <c r="E13" s="21" t="s">
        <v>1166</v>
      </c>
      <c r="F13" s="21" t="s">
        <v>593</v>
      </c>
      <c r="G13" s="21" t="s">
        <v>592</v>
      </c>
      <c r="H13" s="21"/>
    </row>
    <row r="14" spans="1:8" ht="25.5" customHeight="1" x14ac:dyDescent="0.2">
      <c r="A14" s="21">
        <v>1.49</v>
      </c>
      <c r="B14" s="21" t="s">
        <v>1164</v>
      </c>
      <c r="C14" s="21">
        <v>0</v>
      </c>
      <c r="D14" s="21" t="s">
        <v>1165</v>
      </c>
      <c r="E14" s="21" t="s">
        <v>1166</v>
      </c>
      <c r="F14" s="21" t="s">
        <v>593</v>
      </c>
      <c r="G14" s="21" t="s">
        <v>592</v>
      </c>
      <c r="H14" s="21"/>
    </row>
    <row r="15" spans="1:8" ht="25.5" customHeight="1" x14ac:dyDescent="0.2">
      <c r="A15" s="21">
        <v>1.4910000000000001</v>
      </c>
      <c r="B15" s="21" t="s">
        <v>1164</v>
      </c>
      <c r="C15" s="21">
        <v>0</v>
      </c>
      <c r="D15" s="21" t="s">
        <v>1165</v>
      </c>
      <c r="E15" s="21" t="s">
        <v>1166</v>
      </c>
      <c r="F15" s="21" t="s">
        <v>593</v>
      </c>
      <c r="G15" s="21" t="s">
        <v>592</v>
      </c>
      <c r="H15" s="21"/>
    </row>
    <row r="16" spans="1:8" ht="25.5" customHeight="1" x14ac:dyDescent="0.2">
      <c r="A16" s="21">
        <v>1.492</v>
      </c>
      <c r="B16" s="21" t="s">
        <v>1164</v>
      </c>
      <c r="C16" s="21">
        <v>0</v>
      </c>
      <c r="D16" s="21" t="s">
        <v>1165</v>
      </c>
      <c r="E16" s="21" t="s">
        <v>1166</v>
      </c>
      <c r="F16" s="21" t="s">
        <v>593</v>
      </c>
      <c r="G16" s="21" t="s">
        <v>592</v>
      </c>
      <c r="H16" s="21"/>
    </row>
    <row r="17" spans="1:8" ht="25.5" customHeight="1" x14ac:dyDescent="0.2">
      <c r="A17" s="21">
        <v>1.4930000000000001</v>
      </c>
      <c r="B17" s="21" t="s">
        <v>1167</v>
      </c>
      <c r="C17" s="21">
        <v>1</v>
      </c>
      <c r="D17" s="21" t="s">
        <v>1165</v>
      </c>
      <c r="E17" s="21" t="s">
        <v>1166</v>
      </c>
      <c r="F17" s="21" t="s">
        <v>593</v>
      </c>
      <c r="G17" s="21" t="s">
        <v>592</v>
      </c>
      <c r="H17" s="21"/>
    </row>
    <row r="18" spans="1:8" ht="25.5" customHeight="1" x14ac:dyDescent="0.2">
      <c r="A18" s="21">
        <v>1.494</v>
      </c>
      <c r="B18" s="21" t="s">
        <v>1167</v>
      </c>
      <c r="C18" s="21">
        <v>1</v>
      </c>
      <c r="D18" s="21" t="s">
        <v>1165</v>
      </c>
      <c r="E18" s="21" t="s">
        <v>1166</v>
      </c>
      <c r="F18" s="21" t="s">
        <v>593</v>
      </c>
      <c r="G18" s="21" t="s">
        <v>592</v>
      </c>
      <c r="H18" s="21"/>
    </row>
    <row r="19" spans="1:8" ht="25.5" customHeight="1" x14ac:dyDescent="0.2">
      <c r="A19" s="21">
        <v>1.4950000000000001</v>
      </c>
      <c r="B19" s="21" t="s">
        <v>1164</v>
      </c>
      <c r="C19" s="21">
        <v>0</v>
      </c>
      <c r="D19" s="21" t="s">
        <v>1165</v>
      </c>
      <c r="E19" s="21" t="s">
        <v>1166</v>
      </c>
      <c r="F19" s="21" t="s">
        <v>593</v>
      </c>
      <c r="G19" s="21" t="s">
        <v>592</v>
      </c>
      <c r="H19" s="21"/>
    </row>
    <row r="20" spans="1:8" ht="25.5" customHeight="1" x14ac:dyDescent="0.2">
      <c r="A20" s="21">
        <v>1.496</v>
      </c>
      <c r="B20" s="21" t="s">
        <v>1164</v>
      </c>
      <c r="C20" s="21">
        <v>0</v>
      </c>
      <c r="D20" s="21" t="s">
        <v>1165</v>
      </c>
      <c r="E20" s="21" t="s">
        <v>1166</v>
      </c>
      <c r="F20" s="21" t="s">
        <v>593</v>
      </c>
      <c r="G20" s="21" t="s">
        <v>592</v>
      </c>
      <c r="H20" s="21"/>
    </row>
    <row r="21" spans="1:8" ht="25.5" customHeight="1" x14ac:dyDescent="0.2">
      <c r="A21" s="21">
        <v>1.4970000000000001</v>
      </c>
      <c r="B21" s="21" t="s">
        <v>1164</v>
      </c>
      <c r="C21" s="21">
        <v>0</v>
      </c>
      <c r="D21" s="21" t="s">
        <v>1165</v>
      </c>
      <c r="E21" s="21" t="s">
        <v>1166</v>
      </c>
      <c r="F21" s="21" t="s">
        <v>593</v>
      </c>
      <c r="G21" s="21" t="s">
        <v>592</v>
      </c>
      <c r="H21" s="21"/>
    </row>
    <row r="22" spans="1:8" ht="25.5" customHeight="1" x14ac:dyDescent="0.2">
      <c r="A22" s="21">
        <v>1.498</v>
      </c>
      <c r="B22" s="21" t="s">
        <v>1164</v>
      </c>
      <c r="C22" s="21">
        <v>0</v>
      </c>
      <c r="D22" s="21" t="s">
        <v>1165</v>
      </c>
      <c r="E22" s="21" t="s">
        <v>1166</v>
      </c>
      <c r="F22" s="21" t="s">
        <v>593</v>
      </c>
      <c r="G22" s="21" t="s">
        <v>592</v>
      </c>
      <c r="H22" s="21"/>
    </row>
    <row r="23" spans="1:8" ht="25.5" customHeight="1" x14ac:dyDescent="0.2">
      <c r="A23" s="21">
        <v>1.4990000000000001</v>
      </c>
      <c r="B23" s="21" t="s">
        <v>1167</v>
      </c>
      <c r="C23" s="21">
        <v>1</v>
      </c>
      <c r="D23" s="21" t="s">
        <v>1165</v>
      </c>
      <c r="E23" s="21" t="s">
        <v>1166</v>
      </c>
      <c r="F23" s="21" t="s">
        <v>593</v>
      </c>
      <c r="G23" s="21" t="s">
        <v>592</v>
      </c>
      <c r="H23" s="21"/>
    </row>
    <row r="24" spans="1:8" ht="25.5" customHeight="1" x14ac:dyDescent="0.2">
      <c r="A24" s="21">
        <v>1.5</v>
      </c>
      <c r="B24" s="21" t="s">
        <v>1164</v>
      </c>
      <c r="C24" s="21">
        <v>0</v>
      </c>
      <c r="D24" s="21" t="s">
        <v>1165</v>
      </c>
      <c r="E24" s="21" t="s">
        <v>1166</v>
      </c>
      <c r="F24" s="21" t="s">
        <v>593</v>
      </c>
      <c r="G24" s="21" t="s">
        <v>592</v>
      </c>
      <c r="H24" s="21"/>
    </row>
    <row r="25" spans="1:8" ht="25.5" customHeight="1" x14ac:dyDescent="0.2">
      <c r="A25" s="21">
        <v>1.5009999999999999</v>
      </c>
      <c r="B25" s="21" t="s">
        <v>1164</v>
      </c>
      <c r="C25" s="21">
        <v>0</v>
      </c>
      <c r="D25" s="21" t="s">
        <v>1165</v>
      </c>
      <c r="E25" s="21" t="s">
        <v>1166</v>
      </c>
      <c r="F25" s="21" t="s">
        <v>593</v>
      </c>
      <c r="G25" s="21" t="s">
        <v>592</v>
      </c>
      <c r="H25" s="21"/>
    </row>
    <row r="26" spans="1:8" ht="25.5" customHeight="1" x14ac:dyDescent="0.2">
      <c r="A26" s="21">
        <v>1.502</v>
      </c>
      <c r="B26" s="21" t="s">
        <v>1167</v>
      </c>
      <c r="C26" s="21">
        <v>1</v>
      </c>
      <c r="D26" s="21" t="s">
        <v>1165</v>
      </c>
      <c r="E26" s="21" t="s">
        <v>1166</v>
      </c>
      <c r="F26" s="21" t="s">
        <v>593</v>
      </c>
      <c r="G26" s="21" t="s">
        <v>592</v>
      </c>
      <c r="H26" s="21"/>
    </row>
    <row r="27" spans="1:8" ht="25.5" customHeight="1" x14ac:dyDescent="0.2">
      <c r="A27" s="21">
        <v>1.5029999999999999</v>
      </c>
      <c r="B27" s="21" t="s">
        <v>1164</v>
      </c>
      <c r="C27" s="21">
        <v>0</v>
      </c>
      <c r="D27" s="21" t="s">
        <v>1165</v>
      </c>
      <c r="E27" s="21" t="s">
        <v>1166</v>
      </c>
      <c r="F27" s="21" t="s">
        <v>593</v>
      </c>
      <c r="G27" s="21" t="s">
        <v>592</v>
      </c>
      <c r="H27" s="21"/>
    </row>
    <row r="28" spans="1:8" ht="25.5" customHeight="1" x14ac:dyDescent="0.2">
      <c r="A28" s="21">
        <v>1.504</v>
      </c>
      <c r="B28" s="21" t="s">
        <v>1164</v>
      </c>
      <c r="C28" s="21">
        <v>0</v>
      </c>
      <c r="D28" s="21" t="s">
        <v>1165</v>
      </c>
      <c r="E28" s="21" t="s">
        <v>1166</v>
      </c>
      <c r="F28" s="21" t="s">
        <v>593</v>
      </c>
      <c r="G28" s="21" t="s">
        <v>592</v>
      </c>
      <c r="H28" s="21"/>
    </row>
    <row r="29" spans="1:8" ht="25.5" customHeight="1" x14ac:dyDescent="0.2">
      <c r="A29" s="21">
        <v>1.5049999999999999</v>
      </c>
      <c r="B29" s="21" t="s">
        <v>1164</v>
      </c>
      <c r="C29" s="21">
        <v>0</v>
      </c>
      <c r="D29" s="21" t="s">
        <v>1165</v>
      </c>
      <c r="E29" s="21" t="s">
        <v>1166</v>
      </c>
      <c r="F29" s="21" t="s">
        <v>593</v>
      </c>
      <c r="G29" s="21" t="s">
        <v>592</v>
      </c>
      <c r="H29" s="21"/>
    </row>
    <row r="30" spans="1:8" ht="25.5" customHeight="1" x14ac:dyDescent="0.2">
      <c r="A30" s="21">
        <v>1.506</v>
      </c>
      <c r="B30" s="21" t="s">
        <v>1164</v>
      </c>
      <c r="C30" s="21">
        <v>0</v>
      </c>
      <c r="D30" s="21" t="s">
        <v>1165</v>
      </c>
      <c r="E30" s="21" t="s">
        <v>1166</v>
      </c>
      <c r="F30" s="21" t="s">
        <v>593</v>
      </c>
      <c r="G30" s="21" t="s">
        <v>592</v>
      </c>
      <c r="H30" s="21"/>
    </row>
    <row r="31" spans="1:8" ht="25.5" customHeight="1" x14ac:dyDescent="0.2">
      <c r="A31" s="21">
        <v>1.5069999999999999</v>
      </c>
      <c r="B31" s="21" t="s">
        <v>1164</v>
      </c>
      <c r="C31" s="21">
        <v>0</v>
      </c>
      <c r="D31" s="21" t="s">
        <v>1165</v>
      </c>
      <c r="E31" s="21" t="s">
        <v>1166</v>
      </c>
      <c r="F31" s="21" t="s">
        <v>593</v>
      </c>
      <c r="G31" s="21" t="s">
        <v>592</v>
      </c>
      <c r="H31" s="21"/>
    </row>
    <row r="32" spans="1:8" ht="25.5" customHeight="1" x14ac:dyDescent="0.2">
      <c r="A32" s="21">
        <v>1.508</v>
      </c>
      <c r="B32" s="21" t="s">
        <v>1164</v>
      </c>
      <c r="C32" s="21">
        <v>0</v>
      </c>
      <c r="D32" s="21" t="s">
        <v>1165</v>
      </c>
      <c r="E32" s="21" t="s">
        <v>1166</v>
      </c>
      <c r="F32" s="21" t="s">
        <v>593</v>
      </c>
      <c r="G32" s="21" t="s">
        <v>592</v>
      </c>
      <c r="H32" s="21"/>
    </row>
    <row r="33" spans="1:8" ht="25.5" customHeight="1" x14ac:dyDescent="0.2">
      <c r="A33" s="21">
        <v>1.5089999999999999</v>
      </c>
      <c r="B33" s="21" t="s">
        <v>1167</v>
      </c>
      <c r="C33" s="21">
        <v>1</v>
      </c>
      <c r="D33" s="21" t="s">
        <v>1165</v>
      </c>
      <c r="E33" s="21" t="s">
        <v>1166</v>
      </c>
      <c r="F33" s="21" t="s">
        <v>593</v>
      </c>
      <c r="G33" s="21" t="s">
        <v>592</v>
      </c>
      <c r="H33" s="21"/>
    </row>
    <row r="34" spans="1:8" ht="25.5" customHeight="1" x14ac:dyDescent="0.2">
      <c r="A34" s="21">
        <v>1.51</v>
      </c>
      <c r="B34" s="21" t="s">
        <v>1164</v>
      </c>
      <c r="C34" s="21">
        <v>0</v>
      </c>
      <c r="D34" s="21" t="s">
        <v>1165</v>
      </c>
      <c r="E34" s="21" t="s">
        <v>1166</v>
      </c>
      <c r="F34" s="21" t="s">
        <v>593</v>
      </c>
      <c r="G34" s="21" t="s">
        <v>592</v>
      </c>
      <c r="H34" s="21"/>
    </row>
    <row r="35" spans="1:8" ht="25.5" customHeight="1" x14ac:dyDescent="0.2">
      <c r="A35" s="21">
        <v>1.5109999999999999</v>
      </c>
      <c r="B35" s="21" t="s">
        <v>1167</v>
      </c>
      <c r="C35" s="21">
        <v>1</v>
      </c>
      <c r="D35" s="21" t="s">
        <v>1165</v>
      </c>
      <c r="E35" s="21" t="s">
        <v>1166</v>
      </c>
      <c r="F35" s="21" t="s">
        <v>593</v>
      </c>
      <c r="G35" s="21" t="s">
        <v>592</v>
      </c>
      <c r="H35" s="21"/>
    </row>
    <row r="36" spans="1:8" ht="25.5" customHeight="1" x14ac:dyDescent="0.2">
      <c r="A36" s="21">
        <v>1.512</v>
      </c>
      <c r="B36" s="21" t="s">
        <v>1167</v>
      </c>
      <c r="C36" s="21">
        <v>1</v>
      </c>
      <c r="D36" s="21" t="s">
        <v>1165</v>
      </c>
      <c r="E36" s="21" t="s">
        <v>1166</v>
      </c>
      <c r="F36" s="21" t="s">
        <v>593</v>
      </c>
      <c r="G36" s="21" t="s">
        <v>592</v>
      </c>
      <c r="H36" s="21"/>
    </row>
    <row r="37" spans="1:8" ht="25.5" customHeight="1" x14ac:dyDescent="0.2">
      <c r="A37" s="21">
        <v>1.5129999999999999</v>
      </c>
      <c r="B37" s="21" t="s">
        <v>1164</v>
      </c>
      <c r="C37" s="21">
        <v>0</v>
      </c>
      <c r="D37" s="21" t="s">
        <v>1165</v>
      </c>
      <c r="E37" s="21" t="s">
        <v>1166</v>
      </c>
      <c r="F37" s="21" t="s">
        <v>593</v>
      </c>
      <c r="G37" s="21" t="s">
        <v>592</v>
      </c>
      <c r="H37" s="21"/>
    </row>
    <row r="38" spans="1:8" ht="25.5" customHeight="1" x14ac:dyDescent="0.2">
      <c r="A38" s="21">
        <v>1.514</v>
      </c>
      <c r="B38" s="21" t="s">
        <v>1164</v>
      </c>
      <c r="C38" s="21">
        <v>0</v>
      </c>
      <c r="D38" s="21" t="s">
        <v>1165</v>
      </c>
      <c r="E38" s="21" t="s">
        <v>1166</v>
      </c>
      <c r="F38" s="21" t="s">
        <v>593</v>
      </c>
      <c r="G38" s="21" t="s">
        <v>592</v>
      </c>
      <c r="H38" s="21"/>
    </row>
    <row r="39" spans="1:8" ht="25.5" customHeight="1" x14ac:dyDescent="0.2">
      <c r="A39" s="21">
        <v>1.5149999999999999</v>
      </c>
      <c r="B39" s="21" t="s">
        <v>1164</v>
      </c>
      <c r="C39" s="21">
        <v>0</v>
      </c>
      <c r="D39" s="21" t="s">
        <v>1165</v>
      </c>
      <c r="E39" s="21" t="s">
        <v>1166</v>
      </c>
      <c r="F39" s="21" t="s">
        <v>593</v>
      </c>
      <c r="G39" s="21" t="s">
        <v>592</v>
      </c>
      <c r="H39" s="21"/>
    </row>
    <row r="40" spans="1:8" ht="25.5" customHeight="1" x14ac:dyDescent="0.2">
      <c r="A40" s="21">
        <v>1.516</v>
      </c>
      <c r="B40" s="21" t="s">
        <v>1164</v>
      </c>
      <c r="C40" s="21">
        <v>0</v>
      </c>
      <c r="D40" s="21" t="s">
        <v>1165</v>
      </c>
      <c r="E40" s="21" t="s">
        <v>1166</v>
      </c>
      <c r="F40" s="21" t="s">
        <v>593</v>
      </c>
      <c r="G40" s="21" t="s">
        <v>592</v>
      </c>
      <c r="H40" s="21"/>
    </row>
    <row r="41" spans="1:8" ht="25.5" customHeight="1" x14ac:dyDescent="0.2">
      <c r="A41" s="21">
        <v>1.5169999999999999</v>
      </c>
      <c r="B41" s="21" t="s">
        <v>1167</v>
      </c>
      <c r="C41" s="21">
        <v>1</v>
      </c>
      <c r="D41" s="21" t="s">
        <v>1165</v>
      </c>
      <c r="E41" s="21" t="s">
        <v>1166</v>
      </c>
      <c r="F41" s="21" t="s">
        <v>593</v>
      </c>
      <c r="G41" s="21" t="s">
        <v>592</v>
      </c>
      <c r="H41" s="21"/>
    </row>
    <row r="42" spans="1:8" ht="25.5" customHeight="1" x14ac:dyDescent="0.2">
      <c r="A42" s="21">
        <v>1.518</v>
      </c>
      <c r="B42" s="21" t="s">
        <v>1167</v>
      </c>
      <c r="C42" s="21">
        <v>1</v>
      </c>
      <c r="D42" s="21" t="s">
        <v>1165</v>
      </c>
      <c r="E42" s="21" t="s">
        <v>1166</v>
      </c>
      <c r="F42" s="21" t="s">
        <v>593</v>
      </c>
      <c r="G42" s="21" t="s">
        <v>592</v>
      </c>
      <c r="H42" s="21"/>
    </row>
    <row r="43" spans="1:8" ht="25.5" customHeight="1" x14ac:dyDescent="0.2">
      <c r="A43" s="21">
        <v>1.5189999999999999</v>
      </c>
      <c r="B43" s="21" t="s">
        <v>1164</v>
      </c>
      <c r="C43" s="21">
        <v>0</v>
      </c>
      <c r="D43" s="21" t="s">
        <v>1165</v>
      </c>
      <c r="E43" s="21" t="s">
        <v>1166</v>
      </c>
      <c r="F43" s="21" t="s">
        <v>593</v>
      </c>
      <c r="G43" s="21" t="s">
        <v>592</v>
      </c>
      <c r="H43" s="21"/>
    </row>
    <row r="44" spans="1:8" ht="25.5" customHeight="1" x14ac:dyDescent="0.2">
      <c r="A44" s="21">
        <v>1.52</v>
      </c>
      <c r="B44" s="21" t="s">
        <v>1164</v>
      </c>
      <c r="C44" s="21">
        <v>0</v>
      </c>
      <c r="D44" s="21" t="s">
        <v>1165</v>
      </c>
      <c r="E44" s="21" t="s">
        <v>1166</v>
      </c>
      <c r="F44" s="21" t="s">
        <v>593</v>
      </c>
      <c r="G44" s="21" t="s">
        <v>592</v>
      </c>
      <c r="H44" s="21"/>
    </row>
    <row r="45" spans="1:8" ht="25.5" customHeight="1" x14ac:dyDescent="0.2">
      <c r="A45" s="21">
        <v>1.5209999999999999</v>
      </c>
      <c r="B45" s="21" t="s">
        <v>1167</v>
      </c>
      <c r="C45" s="21">
        <v>1</v>
      </c>
      <c r="D45" s="21" t="s">
        <v>1165</v>
      </c>
      <c r="E45" s="21" t="s">
        <v>1166</v>
      </c>
      <c r="F45" s="21" t="s">
        <v>593</v>
      </c>
      <c r="G45" s="21" t="s">
        <v>592</v>
      </c>
      <c r="H45" s="21"/>
    </row>
    <row r="46" spans="1:8" ht="25.5" customHeight="1" x14ac:dyDescent="0.2">
      <c r="A46" s="21">
        <v>1.522</v>
      </c>
      <c r="B46" s="21" t="s">
        <v>1164</v>
      </c>
      <c r="C46" s="21">
        <v>0</v>
      </c>
      <c r="D46" s="21" t="s">
        <v>1165</v>
      </c>
      <c r="E46" s="21" t="s">
        <v>1166</v>
      </c>
      <c r="F46" s="21" t="s">
        <v>593</v>
      </c>
      <c r="G46" s="21" t="s">
        <v>592</v>
      </c>
      <c r="H46" s="21"/>
    </row>
    <row r="47" spans="1:8" ht="25.5" customHeight="1" x14ac:dyDescent="0.2">
      <c r="A47" s="21">
        <v>1.5229999999999999</v>
      </c>
      <c r="B47" s="21" t="s">
        <v>1164</v>
      </c>
      <c r="C47" s="21">
        <v>0</v>
      </c>
      <c r="D47" s="21" t="s">
        <v>1165</v>
      </c>
      <c r="E47" s="21" t="s">
        <v>1166</v>
      </c>
      <c r="F47" s="21" t="s">
        <v>593</v>
      </c>
      <c r="G47" s="21" t="s">
        <v>592</v>
      </c>
      <c r="H47" s="21"/>
    </row>
    <row r="48" spans="1:8" ht="25.5" customHeight="1" x14ac:dyDescent="0.2">
      <c r="A48" s="21">
        <v>1.524</v>
      </c>
      <c r="B48" s="21" t="s">
        <v>1164</v>
      </c>
      <c r="C48" s="21">
        <v>0</v>
      </c>
      <c r="D48" s="21" t="s">
        <v>1165</v>
      </c>
      <c r="E48" s="21" t="s">
        <v>1166</v>
      </c>
      <c r="F48" s="21" t="s">
        <v>593</v>
      </c>
      <c r="G48" s="21" t="s">
        <v>592</v>
      </c>
      <c r="H48" s="21"/>
    </row>
    <row r="49" spans="1:8" ht="25.5" customHeight="1" x14ac:dyDescent="0.2">
      <c r="A49" s="21">
        <v>1.5249999999999999</v>
      </c>
      <c r="B49" s="21" t="s">
        <v>1164</v>
      </c>
      <c r="C49" s="21">
        <v>0</v>
      </c>
      <c r="D49" s="21" t="s">
        <v>1165</v>
      </c>
      <c r="E49" s="21" t="s">
        <v>1166</v>
      </c>
      <c r="F49" s="21" t="s">
        <v>593</v>
      </c>
      <c r="G49" s="21" t="s">
        <v>592</v>
      </c>
      <c r="H49" s="21"/>
    </row>
    <row r="50" spans="1:8" ht="25.5" customHeight="1" x14ac:dyDescent="0.2">
      <c r="A50" s="21">
        <v>1.526</v>
      </c>
      <c r="B50" s="21" t="s">
        <v>1164</v>
      </c>
      <c r="C50" s="21">
        <v>0</v>
      </c>
      <c r="D50" s="21" t="s">
        <v>1165</v>
      </c>
      <c r="E50" s="21" t="s">
        <v>1166</v>
      </c>
      <c r="F50" s="21" t="s">
        <v>593</v>
      </c>
      <c r="G50" s="21" t="s">
        <v>592</v>
      </c>
      <c r="H50" s="21"/>
    </row>
    <row r="51" spans="1:8" ht="25.5" customHeight="1" x14ac:dyDescent="0.2">
      <c r="A51" s="21">
        <v>1.5269999999999999</v>
      </c>
      <c r="B51" s="21" t="s">
        <v>1164</v>
      </c>
      <c r="C51" s="21">
        <v>0</v>
      </c>
      <c r="D51" s="21" t="s">
        <v>1165</v>
      </c>
      <c r="E51" s="21" t="s">
        <v>1166</v>
      </c>
      <c r="F51" s="21" t="s">
        <v>593</v>
      </c>
      <c r="G51" s="21" t="s">
        <v>592</v>
      </c>
      <c r="H51" s="21"/>
    </row>
    <row r="52" spans="1:8" ht="25.5" customHeight="1" x14ac:dyDescent="0.2">
      <c r="A52" s="21">
        <v>1.528</v>
      </c>
      <c r="B52" s="21" t="s">
        <v>1164</v>
      </c>
      <c r="C52" s="21">
        <v>0</v>
      </c>
      <c r="D52" s="21" t="s">
        <v>1165</v>
      </c>
      <c r="E52" s="21" t="s">
        <v>1166</v>
      </c>
      <c r="F52" s="21" t="s">
        <v>593</v>
      </c>
      <c r="G52" s="21" t="s">
        <v>592</v>
      </c>
      <c r="H52" s="21"/>
    </row>
    <row r="53" spans="1:8" ht="25.5" customHeight="1" x14ac:dyDescent="0.2">
      <c r="A53" s="21">
        <v>1.5289999999999999</v>
      </c>
      <c r="B53" s="21" t="s">
        <v>1167</v>
      </c>
      <c r="C53" s="21">
        <v>1</v>
      </c>
      <c r="D53" s="21" t="s">
        <v>1165</v>
      </c>
      <c r="E53" s="21" t="s">
        <v>1166</v>
      </c>
      <c r="F53" s="21" t="s">
        <v>593</v>
      </c>
      <c r="G53" s="21" t="s">
        <v>592</v>
      </c>
      <c r="H53" s="21"/>
    </row>
    <row r="54" spans="1:8" ht="25.5" customHeight="1" x14ac:dyDescent="0.2">
      <c r="A54" s="21">
        <v>1.53</v>
      </c>
      <c r="B54" s="21" t="s">
        <v>1164</v>
      </c>
      <c r="C54" s="21">
        <v>0</v>
      </c>
      <c r="D54" s="21" t="s">
        <v>1165</v>
      </c>
      <c r="E54" s="21" t="s">
        <v>1166</v>
      </c>
      <c r="F54" s="21" t="s">
        <v>593</v>
      </c>
      <c r="G54" s="21" t="s">
        <v>592</v>
      </c>
      <c r="H54" s="21"/>
    </row>
    <row r="55" spans="1:8" ht="25.5" customHeight="1" x14ac:dyDescent="0.2">
      <c r="A55" s="21">
        <v>1.5309999999999999</v>
      </c>
      <c r="B55" s="21" t="s">
        <v>1167</v>
      </c>
      <c r="C55" s="21">
        <v>1</v>
      </c>
      <c r="D55" s="21" t="s">
        <v>1165</v>
      </c>
      <c r="E55" s="21" t="s">
        <v>1166</v>
      </c>
      <c r="F55" s="21" t="s">
        <v>593</v>
      </c>
      <c r="G55" s="21" t="s">
        <v>592</v>
      </c>
      <c r="H55" s="21"/>
    </row>
    <row r="56" spans="1:8" ht="25.5" customHeight="1" x14ac:dyDescent="0.2">
      <c r="A56" s="21">
        <v>1.532</v>
      </c>
      <c r="B56" s="21" t="s">
        <v>1164</v>
      </c>
      <c r="C56" s="21">
        <v>0</v>
      </c>
      <c r="D56" s="21" t="s">
        <v>1165</v>
      </c>
      <c r="E56" s="21" t="s">
        <v>1166</v>
      </c>
      <c r="F56" s="21" t="s">
        <v>593</v>
      </c>
      <c r="G56" s="21" t="s">
        <v>592</v>
      </c>
      <c r="H56" s="21"/>
    </row>
    <row r="57" spans="1:8" ht="25.5" customHeight="1" x14ac:dyDescent="0.2">
      <c r="A57" s="21">
        <v>1.5329999999999999</v>
      </c>
      <c r="B57" s="21" t="s">
        <v>1167</v>
      </c>
      <c r="C57" s="21">
        <v>1</v>
      </c>
      <c r="D57" s="21" t="s">
        <v>1165</v>
      </c>
      <c r="E57" s="21" t="s">
        <v>1166</v>
      </c>
      <c r="F57" s="21" t="s">
        <v>593</v>
      </c>
      <c r="G57" s="21" t="s">
        <v>592</v>
      </c>
      <c r="H57" s="21"/>
    </row>
    <row r="58" spans="1:8" ht="25.5" customHeight="1" x14ac:dyDescent="0.2">
      <c r="A58" s="21">
        <v>1.534</v>
      </c>
      <c r="B58" s="21" t="s">
        <v>1164</v>
      </c>
      <c r="C58" s="21">
        <v>0</v>
      </c>
      <c r="D58" s="21" t="s">
        <v>1165</v>
      </c>
      <c r="E58" s="21" t="s">
        <v>1166</v>
      </c>
      <c r="F58" s="21" t="s">
        <v>593</v>
      </c>
      <c r="G58" s="21" t="s">
        <v>592</v>
      </c>
      <c r="H58" s="21"/>
    </row>
    <row r="59" spans="1:8" ht="25.5" customHeight="1" x14ac:dyDescent="0.2">
      <c r="A59" s="21">
        <v>1.5349999999999999</v>
      </c>
      <c r="B59" s="21" t="s">
        <v>1164</v>
      </c>
      <c r="C59" s="21">
        <v>0</v>
      </c>
      <c r="D59" s="21" t="s">
        <v>1165</v>
      </c>
      <c r="E59" s="21" t="s">
        <v>1166</v>
      </c>
      <c r="F59" s="21" t="s">
        <v>593</v>
      </c>
      <c r="G59" s="21" t="s">
        <v>592</v>
      </c>
      <c r="H59" s="21"/>
    </row>
    <row r="60" spans="1:8" ht="25.5" customHeight="1" x14ac:dyDescent="0.2">
      <c r="A60" s="21">
        <v>1.536</v>
      </c>
      <c r="B60" s="21" t="s">
        <v>1164</v>
      </c>
      <c r="C60" s="21">
        <v>0</v>
      </c>
      <c r="D60" s="21" t="s">
        <v>1165</v>
      </c>
      <c r="E60" s="21" t="s">
        <v>1166</v>
      </c>
      <c r="F60" s="21" t="s">
        <v>593</v>
      </c>
      <c r="G60" s="21" t="s">
        <v>592</v>
      </c>
      <c r="H60" s="21"/>
    </row>
    <row r="61" spans="1:8" ht="25.5" customHeight="1" x14ac:dyDescent="0.2">
      <c r="A61" s="21">
        <v>1.5369999999999999</v>
      </c>
      <c r="B61" s="21" t="s">
        <v>1164</v>
      </c>
      <c r="C61" s="21">
        <v>0</v>
      </c>
      <c r="D61" s="21" t="s">
        <v>1165</v>
      </c>
      <c r="E61" s="21" t="s">
        <v>1166</v>
      </c>
      <c r="F61" s="21" t="s">
        <v>593</v>
      </c>
      <c r="G61" s="21" t="s">
        <v>592</v>
      </c>
      <c r="H61" s="21"/>
    </row>
    <row r="62" spans="1:8" ht="25.5" customHeight="1" x14ac:dyDescent="0.2">
      <c r="A62" s="21">
        <v>1.538</v>
      </c>
      <c r="B62" s="21" t="s">
        <v>1164</v>
      </c>
      <c r="C62" s="21">
        <v>0</v>
      </c>
      <c r="D62" s="21" t="s">
        <v>1165</v>
      </c>
      <c r="E62" s="21" t="s">
        <v>1166</v>
      </c>
      <c r="F62" s="21" t="s">
        <v>593</v>
      </c>
      <c r="G62" s="21" t="s">
        <v>592</v>
      </c>
      <c r="H62" s="21"/>
    </row>
    <row r="63" spans="1:8" ht="25.5" customHeight="1" x14ac:dyDescent="0.2">
      <c r="A63" s="21">
        <v>1.5389999999999999</v>
      </c>
      <c r="B63" s="21" t="s">
        <v>1164</v>
      </c>
      <c r="C63" s="21">
        <v>0</v>
      </c>
      <c r="D63" s="21" t="s">
        <v>1165</v>
      </c>
      <c r="E63" s="21" t="s">
        <v>1166</v>
      </c>
      <c r="F63" s="21" t="s">
        <v>593</v>
      </c>
      <c r="G63" s="21" t="s">
        <v>592</v>
      </c>
      <c r="H63" s="21"/>
    </row>
    <row r="64" spans="1:8" ht="25.5" customHeight="1" x14ac:dyDescent="0.2">
      <c r="A64" s="21">
        <v>1.54</v>
      </c>
      <c r="B64" s="21" t="s">
        <v>1167</v>
      </c>
      <c r="C64" s="21">
        <v>1</v>
      </c>
      <c r="D64" s="21" t="s">
        <v>1165</v>
      </c>
      <c r="E64" s="21" t="s">
        <v>1166</v>
      </c>
      <c r="F64" s="21" t="s">
        <v>593</v>
      </c>
      <c r="G64" s="21" t="s">
        <v>592</v>
      </c>
      <c r="H64" s="21"/>
    </row>
    <row r="65" spans="1:8" ht="25.5" customHeight="1" x14ac:dyDescent="0.2">
      <c r="A65" s="21">
        <v>1.5409999999999999</v>
      </c>
      <c r="B65" s="21" t="s">
        <v>1167</v>
      </c>
      <c r="C65" s="21">
        <v>1</v>
      </c>
      <c r="D65" s="21" t="s">
        <v>1165</v>
      </c>
      <c r="E65" s="21" t="s">
        <v>1166</v>
      </c>
      <c r="F65" s="21" t="s">
        <v>593</v>
      </c>
      <c r="G65" s="21" t="s">
        <v>592</v>
      </c>
      <c r="H65" s="21"/>
    </row>
    <row r="66" spans="1:8" ht="25.5" customHeight="1" x14ac:dyDescent="0.2">
      <c r="A66" s="21">
        <v>1.542</v>
      </c>
      <c r="B66" s="21" t="s">
        <v>1164</v>
      </c>
      <c r="C66" s="21">
        <v>0</v>
      </c>
      <c r="D66" s="21" t="s">
        <v>1165</v>
      </c>
      <c r="E66" s="21" t="s">
        <v>1166</v>
      </c>
      <c r="F66" s="21" t="s">
        <v>593</v>
      </c>
      <c r="G66" s="21" t="s">
        <v>592</v>
      </c>
      <c r="H66" s="21"/>
    </row>
    <row r="67" spans="1:8" ht="25.5" customHeight="1" x14ac:dyDescent="0.2">
      <c r="A67" s="21">
        <v>1.5429999999999999</v>
      </c>
      <c r="B67" s="21" t="s">
        <v>1164</v>
      </c>
      <c r="C67" s="21">
        <v>0</v>
      </c>
      <c r="D67" s="21" t="s">
        <v>1165</v>
      </c>
      <c r="E67" s="21" t="s">
        <v>1166</v>
      </c>
      <c r="F67" s="21" t="s">
        <v>593</v>
      </c>
      <c r="G67" s="21" t="s">
        <v>592</v>
      </c>
      <c r="H67" s="21"/>
    </row>
    <row r="68" spans="1:8" ht="25.5" customHeight="1" x14ac:dyDescent="0.2">
      <c r="A68" s="21">
        <v>1.544</v>
      </c>
      <c r="B68" s="21" t="s">
        <v>1164</v>
      </c>
      <c r="C68" s="21">
        <v>0</v>
      </c>
      <c r="D68" s="21" t="s">
        <v>1165</v>
      </c>
      <c r="E68" s="21" t="s">
        <v>1166</v>
      </c>
      <c r="F68" s="21" t="s">
        <v>593</v>
      </c>
      <c r="G68" s="21" t="s">
        <v>592</v>
      </c>
      <c r="H68" s="21"/>
    </row>
    <row r="69" spans="1:8" ht="25.5" customHeight="1" x14ac:dyDescent="0.2">
      <c r="A69" s="21">
        <v>1.5449999999999999</v>
      </c>
      <c r="B69" s="21" t="s">
        <v>1167</v>
      </c>
      <c r="C69" s="21">
        <v>1</v>
      </c>
      <c r="D69" s="21" t="s">
        <v>1165</v>
      </c>
      <c r="E69" s="21" t="s">
        <v>1166</v>
      </c>
      <c r="F69" s="21" t="s">
        <v>593</v>
      </c>
      <c r="G69" s="21" t="s">
        <v>592</v>
      </c>
      <c r="H69" s="21"/>
    </row>
    <row r="70" spans="1:8" ht="25.5" customHeight="1" x14ac:dyDescent="0.2">
      <c r="A70" s="21">
        <v>1.546</v>
      </c>
      <c r="B70" s="21" t="s">
        <v>1164</v>
      </c>
      <c r="C70" s="21">
        <v>0</v>
      </c>
      <c r="D70" s="21" t="s">
        <v>1165</v>
      </c>
      <c r="E70" s="21" t="s">
        <v>1166</v>
      </c>
      <c r="F70" s="21" t="s">
        <v>593</v>
      </c>
      <c r="G70" s="21" t="s">
        <v>592</v>
      </c>
      <c r="H70" s="21"/>
    </row>
    <row r="71" spans="1:8" ht="25.5" customHeight="1" x14ac:dyDescent="0.2">
      <c r="A71" s="21">
        <v>1.5469999999999999</v>
      </c>
      <c r="B71" s="21" t="s">
        <v>1164</v>
      </c>
      <c r="C71" s="21">
        <v>0</v>
      </c>
      <c r="D71" s="21" t="s">
        <v>1165</v>
      </c>
      <c r="E71" s="21" t="s">
        <v>1166</v>
      </c>
      <c r="F71" s="21" t="s">
        <v>593</v>
      </c>
      <c r="G71" s="21" t="s">
        <v>592</v>
      </c>
      <c r="H71" s="21"/>
    </row>
    <row r="72" spans="1:8" ht="25.5" customHeight="1" x14ac:dyDescent="0.2">
      <c r="A72" s="21">
        <v>1.548</v>
      </c>
      <c r="B72" s="21" t="s">
        <v>1164</v>
      </c>
      <c r="C72" s="21">
        <v>0</v>
      </c>
      <c r="D72" s="21" t="s">
        <v>1165</v>
      </c>
      <c r="E72" s="21" t="s">
        <v>1166</v>
      </c>
      <c r="F72" s="21" t="s">
        <v>593</v>
      </c>
      <c r="G72" s="21" t="s">
        <v>592</v>
      </c>
      <c r="H72" s="21"/>
    </row>
    <row r="73" spans="1:8" ht="25.5" customHeight="1" x14ac:dyDescent="0.2">
      <c r="A73" s="21">
        <v>1.5489999999999999</v>
      </c>
      <c r="B73" s="21" t="s">
        <v>1164</v>
      </c>
      <c r="C73" s="21">
        <v>0</v>
      </c>
      <c r="D73" s="21" t="s">
        <v>1165</v>
      </c>
      <c r="E73" s="21" t="s">
        <v>1166</v>
      </c>
      <c r="F73" s="21" t="s">
        <v>593</v>
      </c>
      <c r="G73" s="21" t="s">
        <v>592</v>
      </c>
      <c r="H73" s="21"/>
    </row>
    <row r="74" spans="1:8" ht="25.5" customHeight="1" x14ac:dyDescent="0.2">
      <c r="A74" s="21">
        <v>1.55</v>
      </c>
      <c r="B74" s="21" t="s">
        <v>1167</v>
      </c>
      <c r="C74" s="21">
        <v>1</v>
      </c>
      <c r="D74" s="21" t="s">
        <v>1165</v>
      </c>
      <c r="E74" s="21" t="s">
        <v>1166</v>
      </c>
      <c r="F74" s="21" t="s">
        <v>593</v>
      </c>
      <c r="G74" s="21" t="s">
        <v>592</v>
      </c>
      <c r="H74" s="21"/>
    </row>
    <row r="75" spans="1:8" ht="25.5" customHeight="1" x14ac:dyDescent="0.2">
      <c r="A75" s="21">
        <v>1.5509999999999999</v>
      </c>
      <c r="B75" s="21" t="s">
        <v>1167</v>
      </c>
      <c r="C75" s="21">
        <v>1</v>
      </c>
      <c r="D75" s="21" t="s">
        <v>1165</v>
      </c>
      <c r="E75" s="21" t="s">
        <v>1166</v>
      </c>
      <c r="F75" s="21" t="s">
        <v>593</v>
      </c>
      <c r="G75" s="21" t="s">
        <v>592</v>
      </c>
      <c r="H75" s="21"/>
    </row>
    <row r="76" spans="1:8" ht="25.5" customHeight="1" x14ac:dyDescent="0.2">
      <c r="A76" s="21">
        <v>1.552</v>
      </c>
      <c r="B76" s="21" t="s">
        <v>1164</v>
      </c>
      <c r="C76" s="21">
        <v>0</v>
      </c>
      <c r="D76" s="21" t="s">
        <v>1165</v>
      </c>
      <c r="E76" s="21" t="s">
        <v>1166</v>
      </c>
      <c r="F76" s="21" t="s">
        <v>593</v>
      </c>
      <c r="G76" s="21" t="s">
        <v>592</v>
      </c>
      <c r="H76" s="21"/>
    </row>
    <row r="77" spans="1:8" ht="25.5" customHeight="1" x14ac:dyDescent="0.2">
      <c r="A77" s="21">
        <v>1.5529999999999999</v>
      </c>
      <c r="B77" s="21" t="s">
        <v>1167</v>
      </c>
      <c r="C77" s="21">
        <v>1</v>
      </c>
      <c r="D77" s="21" t="s">
        <v>1165</v>
      </c>
      <c r="E77" s="21" t="s">
        <v>1166</v>
      </c>
      <c r="F77" s="21" t="s">
        <v>593</v>
      </c>
      <c r="G77" s="21" t="s">
        <v>592</v>
      </c>
      <c r="H77" s="21"/>
    </row>
    <row r="78" spans="1:8" ht="25.5" customHeight="1" x14ac:dyDescent="0.2">
      <c r="A78" s="21">
        <v>1.554</v>
      </c>
      <c r="B78" s="21" t="s">
        <v>1164</v>
      </c>
      <c r="C78" s="21">
        <v>0</v>
      </c>
      <c r="D78" s="21" t="s">
        <v>1165</v>
      </c>
      <c r="E78" s="21" t="s">
        <v>1166</v>
      </c>
      <c r="F78" s="21" t="s">
        <v>593</v>
      </c>
      <c r="G78" s="21" t="s">
        <v>592</v>
      </c>
      <c r="H78" s="21"/>
    </row>
    <row r="79" spans="1:8" ht="25.5" customHeight="1" x14ac:dyDescent="0.2">
      <c r="A79" s="21">
        <v>1.5549999999999999</v>
      </c>
      <c r="B79" s="21" t="s">
        <v>1164</v>
      </c>
      <c r="C79" s="21">
        <v>0</v>
      </c>
      <c r="D79" s="21" t="s">
        <v>1165</v>
      </c>
      <c r="E79" s="21" t="s">
        <v>1166</v>
      </c>
      <c r="F79" s="21" t="s">
        <v>593</v>
      </c>
      <c r="G79" s="21" t="s">
        <v>592</v>
      </c>
      <c r="H79" s="21"/>
    </row>
    <row r="80" spans="1:8" ht="25.5" customHeight="1" x14ac:dyDescent="0.2">
      <c r="A80" s="21">
        <v>1.556</v>
      </c>
      <c r="B80" s="21" t="s">
        <v>1167</v>
      </c>
      <c r="C80" s="21">
        <v>1</v>
      </c>
      <c r="D80" s="21" t="s">
        <v>1165</v>
      </c>
      <c r="E80" s="21" t="s">
        <v>1166</v>
      </c>
      <c r="F80" s="21" t="s">
        <v>593</v>
      </c>
      <c r="G80" s="21" t="s">
        <v>592</v>
      </c>
      <c r="H80" s="21"/>
    </row>
    <row r="81" spans="1:8" ht="25.5" customHeight="1" x14ac:dyDescent="0.2">
      <c r="A81" s="21">
        <v>1.5569999999999999</v>
      </c>
      <c r="B81" s="21" t="s">
        <v>1167</v>
      </c>
      <c r="C81" s="21">
        <v>1</v>
      </c>
      <c r="D81" s="21" t="s">
        <v>1165</v>
      </c>
      <c r="E81" s="21" t="s">
        <v>1166</v>
      </c>
      <c r="F81" s="21" t="s">
        <v>593</v>
      </c>
      <c r="G81" s="21" t="s">
        <v>592</v>
      </c>
      <c r="H81" s="21"/>
    </row>
    <row r="82" spans="1:8" ht="25.5" customHeight="1" x14ac:dyDescent="0.2">
      <c r="A82" s="21">
        <v>1.5580000000000001</v>
      </c>
      <c r="B82" s="21" t="s">
        <v>1167</v>
      </c>
      <c r="C82" s="21">
        <v>1</v>
      </c>
      <c r="D82" s="21" t="s">
        <v>1165</v>
      </c>
      <c r="E82" s="21" t="s">
        <v>1166</v>
      </c>
      <c r="F82" s="21" t="s">
        <v>593</v>
      </c>
      <c r="G82" s="21" t="s">
        <v>592</v>
      </c>
      <c r="H82" s="21"/>
    </row>
    <row r="83" spans="1:8" ht="25.5" customHeight="1" x14ac:dyDescent="0.2">
      <c r="A83" s="21">
        <v>1.5589999999999999</v>
      </c>
      <c r="B83" s="21" t="s">
        <v>1164</v>
      </c>
      <c r="C83" s="21">
        <v>0</v>
      </c>
      <c r="D83" s="21" t="s">
        <v>1165</v>
      </c>
      <c r="E83" s="21" t="s">
        <v>1166</v>
      </c>
      <c r="F83" s="21" t="s">
        <v>593</v>
      </c>
      <c r="G83" s="21" t="s">
        <v>592</v>
      </c>
      <c r="H83" s="21"/>
    </row>
    <row r="84" spans="1:8" ht="25.5" customHeight="1" x14ac:dyDescent="0.2">
      <c r="A84" s="21">
        <v>1.56</v>
      </c>
      <c r="B84" s="21" t="s">
        <v>1164</v>
      </c>
      <c r="C84" s="21">
        <v>0</v>
      </c>
      <c r="D84" s="21" t="s">
        <v>1165</v>
      </c>
      <c r="E84" s="21" t="s">
        <v>1166</v>
      </c>
      <c r="F84" s="21" t="s">
        <v>593</v>
      </c>
      <c r="G84" s="21" t="s">
        <v>592</v>
      </c>
      <c r="H84" s="21"/>
    </row>
    <row r="85" spans="1:8" ht="25.5" customHeight="1" x14ac:dyDescent="0.2">
      <c r="A85" s="21">
        <v>1.5609999999999999</v>
      </c>
      <c r="B85" s="21" t="s">
        <v>1164</v>
      </c>
      <c r="C85" s="21">
        <v>0</v>
      </c>
      <c r="D85" s="21" t="s">
        <v>1165</v>
      </c>
      <c r="E85" s="21" t="s">
        <v>1166</v>
      </c>
      <c r="F85" s="21" t="s">
        <v>593</v>
      </c>
      <c r="G85" s="21" t="s">
        <v>592</v>
      </c>
      <c r="H85" s="21"/>
    </row>
    <row r="86" spans="1:8" ht="25.5" customHeight="1" x14ac:dyDescent="0.2">
      <c r="A86" s="21">
        <v>1.5620000000000001</v>
      </c>
      <c r="B86" s="21" t="s">
        <v>1167</v>
      </c>
      <c r="C86" s="21">
        <v>1</v>
      </c>
      <c r="D86" s="21" t="s">
        <v>1165</v>
      </c>
      <c r="E86" s="21" t="s">
        <v>1166</v>
      </c>
      <c r="F86" s="21" t="s">
        <v>593</v>
      </c>
      <c r="G86" s="21" t="s">
        <v>592</v>
      </c>
      <c r="H86" s="21"/>
    </row>
    <row r="87" spans="1:8" ht="25.5" customHeight="1" x14ac:dyDescent="0.2">
      <c r="A87" s="21">
        <v>1.5629999999999999</v>
      </c>
      <c r="B87" s="21" t="s">
        <v>1167</v>
      </c>
      <c r="C87" s="21">
        <v>1</v>
      </c>
      <c r="D87" s="21" t="s">
        <v>1165</v>
      </c>
      <c r="E87" s="21" t="s">
        <v>1166</v>
      </c>
      <c r="F87" s="21" t="s">
        <v>593</v>
      </c>
      <c r="G87" s="21" t="s">
        <v>592</v>
      </c>
      <c r="H87" s="21"/>
    </row>
    <row r="88" spans="1:8" ht="25.5" customHeight="1" x14ac:dyDescent="0.2">
      <c r="A88" s="21">
        <v>1.5640000000000001</v>
      </c>
      <c r="B88" s="21" t="s">
        <v>1167</v>
      </c>
      <c r="C88" s="21">
        <v>1</v>
      </c>
      <c r="D88" s="21" t="s">
        <v>1165</v>
      </c>
      <c r="E88" s="21" t="s">
        <v>1166</v>
      </c>
      <c r="F88" s="21" t="s">
        <v>593</v>
      </c>
      <c r="G88" s="21" t="s">
        <v>592</v>
      </c>
      <c r="H88" s="21"/>
    </row>
    <row r="89" spans="1:8" ht="25.5" customHeight="1" x14ac:dyDescent="0.2">
      <c r="A89" s="21">
        <v>1.5649999999999999</v>
      </c>
      <c r="B89" s="21" t="s">
        <v>1164</v>
      </c>
      <c r="C89" s="21">
        <v>0</v>
      </c>
      <c r="D89" s="21" t="s">
        <v>1165</v>
      </c>
      <c r="E89" s="21" t="s">
        <v>1166</v>
      </c>
      <c r="F89" s="21" t="s">
        <v>593</v>
      </c>
      <c r="G89" s="21" t="s">
        <v>592</v>
      </c>
      <c r="H89" s="21"/>
    </row>
    <row r="90" spans="1:8" ht="25.5" customHeight="1" x14ac:dyDescent="0.2">
      <c r="A90" s="21">
        <v>1.5660000000000001</v>
      </c>
      <c r="B90" s="21" t="s">
        <v>1167</v>
      </c>
      <c r="C90" s="21">
        <v>1</v>
      </c>
      <c r="D90" s="21" t="s">
        <v>1165</v>
      </c>
      <c r="E90" s="21" t="s">
        <v>1166</v>
      </c>
      <c r="F90" s="21" t="s">
        <v>593</v>
      </c>
      <c r="G90" s="21" t="s">
        <v>592</v>
      </c>
      <c r="H90" s="21"/>
    </row>
    <row r="91" spans="1:8" ht="25.5" customHeight="1" x14ac:dyDescent="0.2">
      <c r="A91" s="21">
        <v>1.5669999999999999</v>
      </c>
      <c r="B91" s="21" t="s">
        <v>1164</v>
      </c>
      <c r="C91" s="21">
        <v>0</v>
      </c>
      <c r="D91" s="21" t="s">
        <v>1165</v>
      </c>
      <c r="E91" s="21" t="s">
        <v>1166</v>
      </c>
      <c r="F91" s="21" t="s">
        <v>593</v>
      </c>
      <c r="G91" s="21" t="s">
        <v>592</v>
      </c>
      <c r="H91" s="21"/>
    </row>
    <row r="92" spans="1:8" ht="25.5" customHeight="1" x14ac:dyDescent="0.2">
      <c r="A92" s="21">
        <v>1.5680000000000001</v>
      </c>
      <c r="B92" s="21" t="s">
        <v>1167</v>
      </c>
      <c r="C92" s="21">
        <v>1</v>
      </c>
      <c r="D92" s="21" t="s">
        <v>1165</v>
      </c>
      <c r="E92" s="21" t="s">
        <v>1166</v>
      </c>
      <c r="F92" s="21" t="s">
        <v>593</v>
      </c>
      <c r="G92" s="21" t="s">
        <v>592</v>
      </c>
      <c r="H92" s="21"/>
    </row>
    <row r="93" spans="1:8" ht="25.5" customHeight="1" x14ac:dyDescent="0.2">
      <c r="A93" s="21">
        <v>1.569</v>
      </c>
      <c r="B93" s="21" t="s">
        <v>1164</v>
      </c>
      <c r="C93" s="21">
        <v>0</v>
      </c>
      <c r="D93" s="21" t="s">
        <v>1165</v>
      </c>
      <c r="E93" s="21" t="s">
        <v>1166</v>
      </c>
      <c r="F93" s="21" t="s">
        <v>593</v>
      </c>
      <c r="G93" s="21" t="s">
        <v>592</v>
      </c>
      <c r="H93" s="21"/>
    </row>
    <row r="94" spans="1:8" ht="25.5" customHeight="1" x14ac:dyDescent="0.2">
      <c r="A94" s="21">
        <v>1.57</v>
      </c>
      <c r="B94" s="21" t="s">
        <v>1167</v>
      </c>
      <c r="C94" s="21">
        <v>0</v>
      </c>
      <c r="D94" s="21" t="s">
        <v>1165</v>
      </c>
      <c r="E94" s="21" t="s">
        <v>1166</v>
      </c>
      <c r="F94" s="21" t="s">
        <v>593</v>
      </c>
      <c r="G94" s="21" t="s">
        <v>592</v>
      </c>
      <c r="H94" s="21"/>
    </row>
    <row r="95" spans="1:8" ht="25.5" customHeight="1" x14ac:dyDescent="0.2">
      <c r="A95" s="21">
        <v>1.571</v>
      </c>
      <c r="B95" s="21" t="s">
        <v>1167</v>
      </c>
      <c r="C95" s="21">
        <v>1</v>
      </c>
      <c r="D95" s="21" t="s">
        <v>1165</v>
      </c>
      <c r="E95" s="21" t="s">
        <v>1166</v>
      </c>
      <c r="F95" s="21" t="s">
        <v>593</v>
      </c>
      <c r="G95" s="21" t="s">
        <v>592</v>
      </c>
      <c r="H95" s="21"/>
    </row>
    <row r="96" spans="1:8" ht="25.5" customHeight="1" x14ac:dyDescent="0.2">
      <c r="A96" s="21">
        <v>1.5720000000000001</v>
      </c>
      <c r="B96" s="21" t="s">
        <v>1164</v>
      </c>
      <c r="C96" s="21">
        <v>0</v>
      </c>
      <c r="D96" s="21" t="s">
        <v>1165</v>
      </c>
      <c r="E96" s="21" t="s">
        <v>1166</v>
      </c>
      <c r="F96" s="21" t="s">
        <v>593</v>
      </c>
      <c r="G96" s="21" t="s">
        <v>592</v>
      </c>
      <c r="H96" s="21"/>
    </row>
    <row r="97" spans="1:8" ht="25.5" customHeight="1" x14ac:dyDescent="0.2">
      <c r="A97" s="21">
        <v>1.573</v>
      </c>
      <c r="B97" s="21" t="s">
        <v>1164</v>
      </c>
      <c r="C97" s="21">
        <v>0</v>
      </c>
      <c r="D97" s="21" t="s">
        <v>1165</v>
      </c>
      <c r="E97" s="21" t="s">
        <v>1166</v>
      </c>
      <c r="F97" s="21" t="s">
        <v>593</v>
      </c>
      <c r="G97" s="21" t="s">
        <v>592</v>
      </c>
      <c r="H97" s="21"/>
    </row>
    <row r="98" spans="1:8" ht="25.5" customHeight="1" x14ac:dyDescent="0.2">
      <c r="A98" s="21">
        <v>1.5740000000000001</v>
      </c>
      <c r="B98" s="21" t="s">
        <v>1167</v>
      </c>
      <c r="C98" s="21">
        <v>1</v>
      </c>
      <c r="D98" s="21" t="s">
        <v>1165</v>
      </c>
      <c r="E98" s="21" t="s">
        <v>1166</v>
      </c>
      <c r="F98" s="21" t="s">
        <v>593</v>
      </c>
      <c r="G98" s="21" t="s">
        <v>592</v>
      </c>
      <c r="H98" s="21"/>
    </row>
    <row r="99" spans="1:8" ht="25.5" customHeight="1" x14ac:dyDescent="0.2">
      <c r="A99" s="21">
        <v>1.575</v>
      </c>
      <c r="B99" s="21" t="s">
        <v>1167</v>
      </c>
      <c r="C99" s="21">
        <v>1</v>
      </c>
      <c r="D99" s="21" t="s">
        <v>1165</v>
      </c>
      <c r="E99" s="21" t="s">
        <v>1166</v>
      </c>
      <c r="F99" s="21" t="s">
        <v>593</v>
      </c>
      <c r="G99" s="21" t="s">
        <v>592</v>
      </c>
      <c r="H99" s="21"/>
    </row>
    <row r="100" spans="1:8" ht="25.5" customHeight="1" x14ac:dyDescent="0.2">
      <c r="A100" s="21">
        <v>1.5760000000000001</v>
      </c>
      <c r="B100" s="21" t="s">
        <v>1167</v>
      </c>
      <c r="C100" s="21">
        <v>1</v>
      </c>
      <c r="D100" s="21" t="s">
        <v>1165</v>
      </c>
      <c r="E100" s="21" t="s">
        <v>1166</v>
      </c>
      <c r="F100" s="21" t="s">
        <v>593</v>
      </c>
      <c r="G100" s="21" t="s">
        <v>592</v>
      </c>
      <c r="H100" s="21"/>
    </row>
    <row r="101" spans="1:8" ht="25.5" customHeight="1" x14ac:dyDescent="0.2">
      <c r="A101" s="21">
        <v>1.577</v>
      </c>
      <c r="B101" s="21" t="s">
        <v>1164</v>
      </c>
      <c r="C101" s="21">
        <v>0</v>
      </c>
      <c r="D101" s="21" t="s">
        <v>1165</v>
      </c>
      <c r="E101" s="21" t="s">
        <v>1166</v>
      </c>
      <c r="F101" s="21" t="s">
        <v>593</v>
      </c>
      <c r="G101" s="21" t="s">
        <v>592</v>
      </c>
      <c r="H101" s="21"/>
    </row>
    <row r="102" spans="1:8" ht="25.5" customHeight="1" x14ac:dyDescent="0.2">
      <c r="A102" s="21">
        <v>1.5780000000000001</v>
      </c>
      <c r="B102" s="21" t="s">
        <v>1167</v>
      </c>
      <c r="C102" s="21">
        <v>1</v>
      </c>
      <c r="D102" s="21" t="s">
        <v>1165</v>
      </c>
      <c r="E102" s="21" t="s">
        <v>1166</v>
      </c>
      <c r="F102" s="21" t="s">
        <v>593</v>
      </c>
      <c r="G102" s="21" t="s">
        <v>592</v>
      </c>
      <c r="H102" s="21"/>
    </row>
    <row r="103" spans="1:8" ht="25.5" customHeight="1" x14ac:dyDescent="0.2">
      <c r="A103" s="21">
        <v>1.579</v>
      </c>
      <c r="B103" s="21" t="s">
        <v>1164</v>
      </c>
      <c r="C103" s="21">
        <v>0</v>
      </c>
      <c r="D103" s="21" t="s">
        <v>1165</v>
      </c>
      <c r="E103" s="21" t="s">
        <v>1166</v>
      </c>
      <c r="F103" s="21" t="s">
        <v>593</v>
      </c>
      <c r="G103" s="21" t="s">
        <v>592</v>
      </c>
      <c r="H103" s="21"/>
    </row>
    <row r="104" spans="1:8" ht="25.5" customHeight="1" x14ac:dyDescent="0.2">
      <c r="A104" s="21">
        <v>1.58</v>
      </c>
      <c r="B104" s="21" t="s">
        <v>1167</v>
      </c>
      <c r="C104" s="21">
        <v>1</v>
      </c>
      <c r="D104" s="21" t="s">
        <v>1165</v>
      </c>
      <c r="E104" s="21" t="s">
        <v>1166</v>
      </c>
      <c r="F104" s="21" t="s">
        <v>593</v>
      </c>
      <c r="G104" s="21" t="s">
        <v>592</v>
      </c>
      <c r="H104" s="21"/>
    </row>
    <row r="105" spans="1:8" ht="25.5" customHeight="1" x14ac:dyDescent="0.2">
      <c r="A105" s="21">
        <v>1.581</v>
      </c>
      <c r="B105" s="21" t="s">
        <v>1167</v>
      </c>
      <c r="C105" s="21">
        <v>1</v>
      </c>
      <c r="D105" s="21" t="s">
        <v>1165</v>
      </c>
      <c r="E105" s="21" t="s">
        <v>1166</v>
      </c>
      <c r="F105" s="21" t="s">
        <v>593</v>
      </c>
      <c r="G105" s="21" t="s">
        <v>592</v>
      </c>
      <c r="H105" s="21"/>
    </row>
    <row r="106" spans="1:8" ht="25.5" customHeight="1" x14ac:dyDescent="0.2">
      <c r="A106" s="21">
        <v>1.5820000000000001</v>
      </c>
      <c r="B106" s="21" t="s">
        <v>1164</v>
      </c>
      <c r="C106" s="21">
        <v>0</v>
      </c>
      <c r="D106" s="21" t="s">
        <v>1165</v>
      </c>
      <c r="E106" s="21" t="s">
        <v>1166</v>
      </c>
      <c r="F106" s="21" t="s">
        <v>593</v>
      </c>
      <c r="G106" s="21" t="s">
        <v>592</v>
      </c>
      <c r="H106" s="21"/>
    </row>
    <row r="107" spans="1:8" ht="25.5" customHeight="1" x14ac:dyDescent="0.2">
      <c r="A107" s="21">
        <v>1.583</v>
      </c>
      <c r="B107" s="21" t="s">
        <v>1167</v>
      </c>
      <c r="C107" s="21">
        <v>1</v>
      </c>
      <c r="D107" s="21" t="s">
        <v>1165</v>
      </c>
      <c r="E107" s="21" t="s">
        <v>1166</v>
      </c>
      <c r="F107" s="21" t="s">
        <v>593</v>
      </c>
      <c r="G107" s="21" t="s">
        <v>592</v>
      </c>
      <c r="H107" s="21"/>
    </row>
    <row r="108" spans="1:8" ht="25.5" customHeight="1" x14ac:dyDescent="0.2">
      <c r="A108" s="21">
        <v>1.5840000000000001</v>
      </c>
      <c r="B108" s="21" t="s">
        <v>1164</v>
      </c>
      <c r="C108" s="21">
        <v>0</v>
      </c>
      <c r="D108" s="21" t="s">
        <v>1165</v>
      </c>
      <c r="E108" s="21" t="s">
        <v>1166</v>
      </c>
      <c r="F108" s="21" t="s">
        <v>593</v>
      </c>
      <c r="G108" s="21" t="s">
        <v>592</v>
      </c>
      <c r="H108" s="21"/>
    </row>
    <row r="109" spans="1:8" ht="25.5" customHeight="1" x14ac:dyDescent="0.2">
      <c r="A109" s="21">
        <v>1.585</v>
      </c>
      <c r="B109" s="21" t="s">
        <v>1167</v>
      </c>
      <c r="C109" s="21">
        <v>1</v>
      </c>
      <c r="D109" s="21" t="s">
        <v>1165</v>
      </c>
      <c r="E109" s="21" t="s">
        <v>1166</v>
      </c>
      <c r="F109" s="21" t="s">
        <v>593</v>
      </c>
      <c r="G109" s="21" t="s">
        <v>592</v>
      </c>
      <c r="H109" s="21"/>
    </row>
    <row r="110" spans="1:8" ht="25.5" customHeight="1" x14ac:dyDescent="0.2">
      <c r="A110" s="21">
        <v>1.5860000000000001</v>
      </c>
      <c r="B110" s="21" t="s">
        <v>1164</v>
      </c>
      <c r="C110" s="21">
        <v>0</v>
      </c>
      <c r="D110" s="21" t="s">
        <v>1165</v>
      </c>
      <c r="E110" s="21" t="s">
        <v>1166</v>
      </c>
      <c r="F110" s="21" t="s">
        <v>593</v>
      </c>
      <c r="G110" s="21" t="s">
        <v>592</v>
      </c>
      <c r="H110" s="21"/>
    </row>
    <row r="111" spans="1:8" ht="25.5" customHeight="1" x14ac:dyDescent="0.2">
      <c r="A111" s="21">
        <v>1.587</v>
      </c>
      <c r="B111" s="21" t="s">
        <v>1164</v>
      </c>
      <c r="C111" s="21">
        <v>0</v>
      </c>
      <c r="D111" s="21" t="s">
        <v>1165</v>
      </c>
      <c r="E111" s="21" t="s">
        <v>1166</v>
      </c>
      <c r="F111" s="21" t="s">
        <v>593</v>
      </c>
      <c r="G111" s="21" t="s">
        <v>592</v>
      </c>
      <c r="H111" s="21"/>
    </row>
    <row r="112" spans="1:8" ht="25.5" customHeight="1" x14ac:dyDescent="0.2">
      <c r="A112" s="21">
        <v>1.5880000000000001</v>
      </c>
      <c r="B112" s="21" t="s">
        <v>1164</v>
      </c>
      <c r="C112" s="21">
        <v>0</v>
      </c>
      <c r="D112" s="21" t="s">
        <v>1165</v>
      </c>
      <c r="E112" s="21" t="s">
        <v>1166</v>
      </c>
      <c r="F112" s="21" t="s">
        <v>593</v>
      </c>
      <c r="G112" s="21" t="s">
        <v>592</v>
      </c>
      <c r="H112" s="21"/>
    </row>
    <row r="113" spans="1:8" ht="25.5" customHeight="1" x14ac:dyDescent="0.2">
      <c r="A113" s="21">
        <v>1.589</v>
      </c>
      <c r="B113" s="21" t="s">
        <v>1164</v>
      </c>
      <c r="C113" s="21">
        <v>0</v>
      </c>
      <c r="D113" s="21" t="s">
        <v>1165</v>
      </c>
      <c r="E113" s="21" t="s">
        <v>1166</v>
      </c>
      <c r="F113" s="21" t="s">
        <v>593</v>
      </c>
      <c r="G113" s="21" t="s">
        <v>592</v>
      </c>
      <c r="H113" s="21"/>
    </row>
    <row r="114" spans="1:8" ht="25.5" customHeight="1" x14ac:dyDescent="0.2">
      <c r="A114" s="21">
        <v>1.59</v>
      </c>
      <c r="B114" s="21" t="s">
        <v>1164</v>
      </c>
      <c r="C114" s="21">
        <v>0</v>
      </c>
      <c r="D114" s="21" t="s">
        <v>1165</v>
      </c>
      <c r="E114" s="21" t="s">
        <v>1166</v>
      </c>
      <c r="F114" s="21" t="s">
        <v>593</v>
      </c>
      <c r="G114" s="21" t="s">
        <v>592</v>
      </c>
      <c r="H114" s="21"/>
    </row>
    <row r="115" spans="1:8" ht="25.5" customHeight="1" x14ac:dyDescent="0.2">
      <c r="A115" s="21">
        <v>1.591</v>
      </c>
      <c r="B115" s="21" t="s">
        <v>1164</v>
      </c>
      <c r="C115" s="21">
        <v>0</v>
      </c>
      <c r="D115" s="21" t="s">
        <v>1165</v>
      </c>
      <c r="E115" s="21" t="s">
        <v>1166</v>
      </c>
      <c r="F115" s="21" t="s">
        <v>593</v>
      </c>
      <c r="G115" s="21" t="s">
        <v>592</v>
      </c>
      <c r="H115" s="21"/>
    </row>
    <row r="116" spans="1:8" ht="25.5" customHeight="1" x14ac:dyDescent="0.2">
      <c r="A116" s="21">
        <v>1.5920000000000001</v>
      </c>
      <c r="B116" s="21" t="s">
        <v>1164</v>
      </c>
      <c r="C116" s="21">
        <v>0</v>
      </c>
      <c r="D116" s="21" t="s">
        <v>1165</v>
      </c>
      <c r="E116" s="21" t="s">
        <v>1166</v>
      </c>
      <c r="F116" s="21" t="s">
        <v>593</v>
      </c>
      <c r="G116" s="21" t="s">
        <v>592</v>
      </c>
      <c r="H116" s="21"/>
    </row>
    <row r="117" spans="1:8" ht="25.5" customHeight="1" x14ac:dyDescent="0.2">
      <c r="A117" s="21">
        <v>1.593</v>
      </c>
      <c r="B117" s="21" t="s">
        <v>1164</v>
      </c>
      <c r="C117" s="21">
        <v>0</v>
      </c>
      <c r="D117" s="21" t="s">
        <v>1165</v>
      </c>
      <c r="E117" s="21" t="s">
        <v>1166</v>
      </c>
      <c r="F117" s="21" t="s">
        <v>593</v>
      </c>
      <c r="G117" s="21" t="s">
        <v>592</v>
      </c>
      <c r="H117" s="21"/>
    </row>
    <row r="118" spans="1:8" ht="25.5" customHeight="1" x14ac:dyDescent="0.2">
      <c r="A118" s="21">
        <v>1.5940000000000001</v>
      </c>
      <c r="B118" s="21" t="s">
        <v>1164</v>
      </c>
      <c r="C118" s="21">
        <v>0</v>
      </c>
      <c r="D118" s="21" t="s">
        <v>1165</v>
      </c>
      <c r="E118" s="21" t="s">
        <v>1166</v>
      </c>
      <c r="F118" s="21" t="s">
        <v>593</v>
      </c>
      <c r="G118" s="21" t="s">
        <v>592</v>
      </c>
      <c r="H118" s="21"/>
    </row>
    <row r="119" spans="1:8" ht="25.5" customHeight="1" x14ac:dyDescent="0.2">
      <c r="A119" s="21">
        <v>1.595</v>
      </c>
      <c r="B119" s="21" t="s">
        <v>1164</v>
      </c>
      <c r="C119" s="21">
        <v>0</v>
      </c>
      <c r="D119" s="21" t="s">
        <v>1165</v>
      </c>
      <c r="E119" s="21" t="s">
        <v>1166</v>
      </c>
      <c r="F119" s="21" t="s">
        <v>593</v>
      </c>
      <c r="G119" s="21" t="s">
        <v>592</v>
      </c>
      <c r="H119" s="21"/>
    </row>
    <row r="120" spans="1:8" ht="25.5" customHeight="1" x14ac:dyDescent="0.2">
      <c r="A120" s="21">
        <v>1.5960000000000001</v>
      </c>
      <c r="B120" s="21" t="s">
        <v>1167</v>
      </c>
      <c r="C120" s="21">
        <v>1</v>
      </c>
      <c r="D120" s="21" t="s">
        <v>1165</v>
      </c>
      <c r="E120" s="21" t="s">
        <v>1166</v>
      </c>
      <c r="F120" s="21" t="s">
        <v>593</v>
      </c>
      <c r="G120" s="21" t="s">
        <v>592</v>
      </c>
      <c r="H120" s="21"/>
    </row>
    <row r="121" spans="1:8" ht="25.5" customHeight="1" x14ac:dyDescent="0.2">
      <c r="A121" s="21">
        <v>1.597</v>
      </c>
      <c r="B121" s="21" t="s">
        <v>1167</v>
      </c>
      <c r="C121" s="21">
        <v>1</v>
      </c>
      <c r="D121" s="21" t="s">
        <v>1165</v>
      </c>
      <c r="E121" s="21" t="s">
        <v>1166</v>
      </c>
      <c r="F121" s="21" t="s">
        <v>593</v>
      </c>
      <c r="G121" s="21" t="s">
        <v>592</v>
      </c>
      <c r="H121" s="21"/>
    </row>
    <row r="122" spans="1:8" ht="25.5" customHeight="1" x14ac:dyDescent="0.2">
      <c r="A122" s="21">
        <v>1.5980000000000001</v>
      </c>
      <c r="B122" s="21" t="s">
        <v>1164</v>
      </c>
      <c r="C122" s="21">
        <v>0</v>
      </c>
      <c r="D122" s="21" t="s">
        <v>1165</v>
      </c>
      <c r="E122" s="21" t="s">
        <v>1166</v>
      </c>
      <c r="F122" s="21" t="s">
        <v>593</v>
      </c>
      <c r="G122" s="21" t="s">
        <v>592</v>
      </c>
      <c r="H122" s="21"/>
    </row>
    <row r="123" spans="1:8" ht="25.5" customHeight="1" x14ac:dyDescent="0.2">
      <c r="A123" s="21">
        <v>1.599</v>
      </c>
      <c r="B123" s="21" t="s">
        <v>1164</v>
      </c>
      <c r="C123" s="21">
        <v>0</v>
      </c>
      <c r="D123" s="21" t="s">
        <v>1165</v>
      </c>
      <c r="E123" s="21" t="s">
        <v>1166</v>
      </c>
      <c r="F123" s="21" t="s">
        <v>593</v>
      </c>
      <c r="G123" s="21" t="s">
        <v>592</v>
      </c>
      <c r="H123" s="21"/>
    </row>
    <row r="124" spans="1:8" ht="25.5" customHeight="1" x14ac:dyDescent="0.2">
      <c r="A124" s="21">
        <v>1.6</v>
      </c>
      <c r="B124" s="21" t="s">
        <v>1164</v>
      </c>
      <c r="C124" s="21">
        <v>0</v>
      </c>
      <c r="D124" s="21" t="s">
        <v>1165</v>
      </c>
      <c r="E124" s="21" t="s">
        <v>1166</v>
      </c>
      <c r="F124" s="21" t="s">
        <v>593</v>
      </c>
      <c r="G124" s="21" t="s">
        <v>592</v>
      </c>
      <c r="H124" s="21"/>
    </row>
    <row r="125" spans="1:8" ht="25.5" customHeight="1" x14ac:dyDescent="0.2">
      <c r="A125" s="21">
        <v>1.601</v>
      </c>
      <c r="B125" s="21" t="s">
        <v>1164</v>
      </c>
      <c r="C125" s="21">
        <v>0</v>
      </c>
      <c r="D125" s="21" t="s">
        <v>1165</v>
      </c>
      <c r="E125" s="21" t="s">
        <v>1166</v>
      </c>
      <c r="F125" s="21" t="s">
        <v>593</v>
      </c>
      <c r="G125" s="21" t="s">
        <v>592</v>
      </c>
      <c r="H125" s="21"/>
    </row>
    <row r="126" spans="1:8" ht="25.5" customHeight="1" x14ac:dyDescent="0.2">
      <c r="A126" s="21">
        <v>1.6020000000000001</v>
      </c>
      <c r="B126" s="21" t="s">
        <v>1164</v>
      </c>
      <c r="C126" s="21">
        <v>0</v>
      </c>
      <c r="D126" s="21" t="s">
        <v>1165</v>
      </c>
      <c r="E126" s="21" t="s">
        <v>1166</v>
      </c>
      <c r="F126" s="21" t="s">
        <v>593</v>
      </c>
      <c r="G126" s="21" t="s">
        <v>592</v>
      </c>
      <c r="H126" s="21"/>
    </row>
    <row r="127" spans="1:8" ht="25.5" customHeight="1" x14ac:dyDescent="0.2">
      <c r="A127" s="21">
        <v>1.603</v>
      </c>
      <c r="B127" s="21" t="s">
        <v>1167</v>
      </c>
      <c r="C127" s="21">
        <v>1</v>
      </c>
      <c r="D127" s="21" t="s">
        <v>1165</v>
      </c>
      <c r="E127" s="21" t="s">
        <v>1166</v>
      </c>
      <c r="F127" s="21" t="s">
        <v>593</v>
      </c>
      <c r="G127" s="21" t="s">
        <v>592</v>
      </c>
      <c r="H127" s="21"/>
    </row>
    <row r="128" spans="1:8" ht="25.5" customHeight="1" x14ac:dyDescent="0.2">
      <c r="A128" s="21">
        <v>1.6040000000000001</v>
      </c>
      <c r="B128" s="21" t="s">
        <v>1164</v>
      </c>
      <c r="C128" s="21">
        <v>0</v>
      </c>
      <c r="D128" s="21" t="s">
        <v>1165</v>
      </c>
      <c r="E128" s="21" t="s">
        <v>1166</v>
      </c>
      <c r="F128" s="21" t="s">
        <v>593</v>
      </c>
      <c r="G128" s="21" t="s">
        <v>592</v>
      </c>
      <c r="H128" s="21"/>
    </row>
    <row r="129" spans="1:8" ht="25.5" customHeight="1" x14ac:dyDescent="0.2">
      <c r="A129" s="21">
        <v>1.605</v>
      </c>
      <c r="B129" s="21" t="s">
        <v>1164</v>
      </c>
      <c r="C129" s="21">
        <v>0</v>
      </c>
      <c r="D129" s="21" t="s">
        <v>1165</v>
      </c>
      <c r="E129" s="21" t="s">
        <v>1166</v>
      </c>
      <c r="F129" s="21" t="s">
        <v>593</v>
      </c>
      <c r="G129" s="21" t="s">
        <v>592</v>
      </c>
      <c r="H129" s="21"/>
    </row>
    <row r="130" spans="1:8" ht="25.5" customHeight="1" x14ac:dyDescent="0.2">
      <c r="A130" s="21">
        <v>1.6060000000000001</v>
      </c>
      <c r="B130" s="21" t="s">
        <v>1164</v>
      </c>
      <c r="C130" s="21">
        <v>0</v>
      </c>
      <c r="D130" s="21" t="s">
        <v>1165</v>
      </c>
      <c r="E130" s="21" t="s">
        <v>1166</v>
      </c>
      <c r="F130" s="21" t="s">
        <v>593</v>
      </c>
      <c r="G130" s="21" t="s">
        <v>592</v>
      </c>
      <c r="H130" s="21"/>
    </row>
    <row r="131" spans="1:8" ht="25.5" customHeight="1" x14ac:dyDescent="0.2">
      <c r="A131" s="21">
        <v>1.607</v>
      </c>
      <c r="B131" s="21" t="s">
        <v>1164</v>
      </c>
      <c r="C131" s="21">
        <v>0</v>
      </c>
      <c r="D131" s="21" t="s">
        <v>1165</v>
      </c>
      <c r="E131" s="21" t="s">
        <v>1166</v>
      </c>
      <c r="F131" s="21" t="s">
        <v>593</v>
      </c>
      <c r="G131" s="21" t="s">
        <v>592</v>
      </c>
      <c r="H131" s="21"/>
    </row>
    <row r="132" spans="1:8" ht="25.5" customHeight="1" x14ac:dyDescent="0.2">
      <c r="A132" s="21">
        <v>1.6080000000000001</v>
      </c>
      <c r="B132" s="21" t="s">
        <v>1164</v>
      </c>
      <c r="C132" s="21">
        <v>0</v>
      </c>
      <c r="D132" s="21" t="s">
        <v>1165</v>
      </c>
      <c r="E132" s="21" t="s">
        <v>1166</v>
      </c>
      <c r="F132" s="21" t="s">
        <v>593</v>
      </c>
      <c r="G132" s="21" t="s">
        <v>592</v>
      </c>
      <c r="H132" s="21"/>
    </row>
    <row r="133" spans="1:8" ht="25.5" customHeight="1" x14ac:dyDescent="0.2">
      <c r="A133" s="21">
        <v>1.609</v>
      </c>
      <c r="B133" s="21" t="s">
        <v>1167</v>
      </c>
      <c r="C133" s="21">
        <v>1</v>
      </c>
      <c r="D133" s="21" t="s">
        <v>1165</v>
      </c>
      <c r="E133" s="21" t="s">
        <v>1166</v>
      </c>
      <c r="F133" s="21" t="s">
        <v>593</v>
      </c>
      <c r="G133" s="21" t="s">
        <v>592</v>
      </c>
      <c r="H133" s="21"/>
    </row>
    <row r="134" spans="1:8" ht="25.5" customHeight="1" x14ac:dyDescent="0.2">
      <c r="A134" s="21">
        <v>1.61</v>
      </c>
      <c r="B134" s="21" t="s">
        <v>1167</v>
      </c>
      <c r="C134" s="21">
        <v>1</v>
      </c>
      <c r="D134" s="21" t="s">
        <v>1165</v>
      </c>
      <c r="E134" s="21" t="s">
        <v>1166</v>
      </c>
      <c r="F134" s="21" t="s">
        <v>593</v>
      </c>
      <c r="G134" s="21" t="s">
        <v>592</v>
      </c>
      <c r="H134" s="21"/>
    </row>
    <row r="135" spans="1:8" ht="25.5" customHeight="1" x14ac:dyDescent="0.2">
      <c r="A135" s="21">
        <v>1.611</v>
      </c>
      <c r="B135" s="21" t="s">
        <v>1167</v>
      </c>
      <c r="C135" s="21">
        <v>1</v>
      </c>
      <c r="D135" s="21" t="s">
        <v>1165</v>
      </c>
      <c r="E135" s="21" t="s">
        <v>1166</v>
      </c>
      <c r="F135" s="21" t="s">
        <v>593</v>
      </c>
      <c r="G135" s="21" t="s">
        <v>592</v>
      </c>
      <c r="H135" s="21"/>
    </row>
    <row r="136" spans="1:8" ht="25.5" customHeight="1" x14ac:dyDescent="0.2">
      <c r="A136" s="21">
        <v>1.6120000000000001</v>
      </c>
      <c r="B136" s="21" t="s">
        <v>1167</v>
      </c>
      <c r="C136" s="21">
        <v>1</v>
      </c>
      <c r="D136" s="21" t="s">
        <v>1165</v>
      </c>
      <c r="E136" s="21" t="s">
        <v>1166</v>
      </c>
      <c r="F136" s="21" t="s">
        <v>593</v>
      </c>
      <c r="G136" s="21" t="s">
        <v>592</v>
      </c>
      <c r="H136" s="21"/>
    </row>
    <row r="137" spans="1:8" ht="25.5" customHeight="1" x14ac:dyDescent="0.2">
      <c r="A137" s="21">
        <v>1.613</v>
      </c>
      <c r="B137" s="21" t="s">
        <v>1164</v>
      </c>
      <c r="C137" s="21">
        <v>0</v>
      </c>
      <c r="D137" s="21" t="s">
        <v>1165</v>
      </c>
      <c r="E137" s="21" t="s">
        <v>1166</v>
      </c>
      <c r="F137" s="21" t="s">
        <v>593</v>
      </c>
      <c r="G137" s="21" t="s">
        <v>592</v>
      </c>
      <c r="H137" s="21"/>
    </row>
    <row r="138" spans="1:8" ht="25.5" customHeight="1" x14ac:dyDescent="0.2">
      <c r="A138" s="21">
        <v>1.6140000000000001</v>
      </c>
      <c r="B138" s="21" t="s">
        <v>1164</v>
      </c>
      <c r="C138" s="21">
        <v>0</v>
      </c>
      <c r="D138" s="21" t="s">
        <v>1165</v>
      </c>
      <c r="E138" s="21" t="s">
        <v>1166</v>
      </c>
      <c r="F138" s="21" t="s">
        <v>593</v>
      </c>
      <c r="G138" s="21" t="s">
        <v>592</v>
      </c>
      <c r="H138" s="21"/>
    </row>
    <row r="139" spans="1:8" ht="25.5" customHeight="1" x14ac:dyDescent="0.2">
      <c r="A139" s="21">
        <v>1.615</v>
      </c>
      <c r="B139" s="21" t="s">
        <v>1164</v>
      </c>
      <c r="C139" s="21">
        <v>0</v>
      </c>
      <c r="D139" s="21" t="s">
        <v>1165</v>
      </c>
      <c r="E139" s="21" t="s">
        <v>1166</v>
      </c>
      <c r="F139" s="21" t="s">
        <v>593</v>
      </c>
      <c r="G139" s="21" t="s">
        <v>592</v>
      </c>
      <c r="H139" s="21"/>
    </row>
    <row r="140" spans="1:8" ht="25.5" customHeight="1" x14ac:dyDescent="0.2">
      <c r="A140" s="21">
        <v>1.6160000000000001</v>
      </c>
      <c r="B140" s="21" t="s">
        <v>1164</v>
      </c>
      <c r="C140" s="21">
        <v>0</v>
      </c>
      <c r="D140" s="21" t="s">
        <v>1165</v>
      </c>
      <c r="E140" s="21" t="s">
        <v>1166</v>
      </c>
      <c r="F140" s="21" t="s">
        <v>593</v>
      </c>
      <c r="G140" s="21" t="s">
        <v>592</v>
      </c>
      <c r="H140" s="21"/>
    </row>
    <row r="141" spans="1:8" ht="25.5" customHeight="1" x14ac:dyDescent="0.2">
      <c r="A141" s="21">
        <v>1.617</v>
      </c>
      <c r="B141" s="21" t="s">
        <v>1164</v>
      </c>
      <c r="C141" s="21">
        <v>0</v>
      </c>
      <c r="D141" s="21" t="s">
        <v>1165</v>
      </c>
      <c r="E141" s="21" t="s">
        <v>1166</v>
      </c>
      <c r="F141" s="21" t="s">
        <v>593</v>
      </c>
      <c r="G141" s="21" t="s">
        <v>592</v>
      </c>
      <c r="H141" s="21"/>
    </row>
    <row r="142" spans="1:8" ht="25.5" customHeight="1" x14ac:dyDescent="0.2">
      <c r="A142" s="21">
        <v>1.6180000000000001</v>
      </c>
      <c r="B142" s="21" t="s">
        <v>1164</v>
      </c>
      <c r="C142" s="21">
        <v>0</v>
      </c>
      <c r="D142" s="21" t="s">
        <v>1165</v>
      </c>
      <c r="E142" s="21" t="s">
        <v>1166</v>
      </c>
      <c r="F142" s="21" t="s">
        <v>593</v>
      </c>
      <c r="G142" s="21" t="s">
        <v>592</v>
      </c>
      <c r="H142" s="21"/>
    </row>
    <row r="143" spans="1:8" ht="25.5" customHeight="1" x14ac:dyDescent="0.2">
      <c r="A143" s="21">
        <v>1.619</v>
      </c>
      <c r="B143" s="21" t="s">
        <v>1164</v>
      </c>
      <c r="C143" s="21">
        <v>0</v>
      </c>
      <c r="D143" s="21" t="s">
        <v>1165</v>
      </c>
      <c r="E143" s="21" t="s">
        <v>1166</v>
      </c>
      <c r="F143" s="21" t="s">
        <v>593</v>
      </c>
      <c r="G143" s="21" t="s">
        <v>592</v>
      </c>
      <c r="H143" s="21"/>
    </row>
    <row r="144" spans="1:8" ht="25.5" customHeight="1" x14ac:dyDescent="0.2">
      <c r="A144" s="21">
        <v>1.62</v>
      </c>
      <c r="B144" s="21" t="s">
        <v>1167</v>
      </c>
      <c r="C144" s="21">
        <v>1</v>
      </c>
      <c r="D144" s="21" t="s">
        <v>1165</v>
      </c>
      <c r="E144" s="21" t="s">
        <v>1166</v>
      </c>
      <c r="F144" s="21" t="s">
        <v>593</v>
      </c>
      <c r="G144" s="21" t="s">
        <v>592</v>
      </c>
      <c r="H144" s="21"/>
    </row>
    <row r="145" spans="1:8" ht="25.5" customHeight="1" x14ac:dyDescent="0.2">
      <c r="A145" s="21">
        <v>1.621</v>
      </c>
      <c r="B145" s="21" t="s">
        <v>1167</v>
      </c>
      <c r="C145" s="21">
        <v>1</v>
      </c>
      <c r="D145" s="21" t="s">
        <v>1165</v>
      </c>
      <c r="E145" s="21" t="s">
        <v>1166</v>
      </c>
      <c r="F145" s="21" t="s">
        <v>593</v>
      </c>
      <c r="G145" s="21" t="s">
        <v>592</v>
      </c>
      <c r="H145" s="21"/>
    </row>
    <row r="146" spans="1:8" ht="25.5" customHeight="1" x14ac:dyDescent="0.2">
      <c r="A146" s="21">
        <v>1.6220000000000001</v>
      </c>
      <c r="B146" s="21" t="s">
        <v>1164</v>
      </c>
      <c r="C146" s="21">
        <v>0</v>
      </c>
      <c r="D146" s="21" t="s">
        <v>1165</v>
      </c>
      <c r="E146" s="21" t="s">
        <v>1166</v>
      </c>
      <c r="F146" s="21" t="s">
        <v>593</v>
      </c>
      <c r="G146" s="21" t="s">
        <v>592</v>
      </c>
      <c r="H146" s="21"/>
    </row>
    <row r="147" spans="1:8" ht="25.5" customHeight="1" x14ac:dyDescent="0.2">
      <c r="A147" s="21">
        <v>1.623</v>
      </c>
      <c r="B147" s="21" t="s">
        <v>1164</v>
      </c>
      <c r="C147" s="21">
        <v>0</v>
      </c>
      <c r="D147" s="21" t="s">
        <v>1165</v>
      </c>
      <c r="E147" s="21" t="s">
        <v>1166</v>
      </c>
      <c r="F147" s="21" t="s">
        <v>593</v>
      </c>
      <c r="G147" s="21" t="s">
        <v>592</v>
      </c>
      <c r="H147" s="21"/>
    </row>
    <row r="148" spans="1:8" ht="25.5" customHeight="1" x14ac:dyDescent="0.2">
      <c r="A148" s="21">
        <v>1.6240000000000001</v>
      </c>
      <c r="B148" s="21" t="s">
        <v>1167</v>
      </c>
      <c r="C148" s="21">
        <v>1</v>
      </c>
      <c r="D148" s="21" t="s">
        <v>1165</v>
      </c>
      <c r="E148" s="21" t="s">
        <v>1166</v>
      </c>
      <c r="F148" s="21" t="s">
        <v>593</v>
      </c>
      <c r="G148" s="21" t="s">
        <v>592</v>
      </c>
      <c r="H148" s="21"/>
    </row>
    <row r="149" spans="1:8" ht="25.5" customHeight="1" x14ac:dyDescent="0.2">
      <c r="A149" s="21">
        <v>1.625</v>
      </c>
      <c r="B149" s="21" t="s">
        <v>1167</v>
      </c>
      <c r="C149" s="21">
        <v>1</v>
      </c>
      <c r="D149" s="21" t="s">
        <v>1165</v>
      </c>
      <c r="E149" s="21" t="s">
        <v>1166</v>
      </c>
      <c r="F149" s="21" t="s">
        <v>593</v>
      </c>
      <c r="G149" s="21" t="s">
        <v>592</v>
      </c>
      <c r="H149" s="21"/>
    </row>
    <row r="150" spans="1:8" ht="25.5" customHeight="1" x14ac:dyDescent="0.2">
      <c r="A150" s="21">
        <v>1.6259999999999999</v>
      </c>
      <c r="B150" s="21" t="s">
        <v>1164</v>
      </c>
      <c r="C150" s="21">
        <v>0</v>
      </c>
      <c r="D150" s="21" t="s">
        <v>1165</v>
      </c>
      <c r="E150" s="21" t="s">
        <v>1166</v>
      </c>
      <c r="F150" s="21" t="s">
        <v>593</v>
      </c>
      <c r="G150" s="21" t="s">
        <v>592</v>
      </c>
      <c r="H150" s="21"/>
    </row>
    <row r="151" spans="1:8" ht="25.5" customHeight="1" x14ac:dyDescent="0.2">
      <c r="A151" s="21">
        <v>1.627</v>
      </c>
      <c r="B151" s="21" t="s">
        <v>1167</v>
      </c>
      <c r="C151" s="21">
        <v>1</v>
      </c>
      <c r="D151" s="21" t="s">
        <v>1165</v>
      </c>
      <c r="E151" s="21" t="s">
        <v>1166</v>
      </c>
      <c r="F151" s="21" t="s">
        <v>593</v>
      </c>
      <c r="G151" s="21" t="s">
        <v>592</v>
      </c>
      <c r="H151" s="21"/>
    </row>
    <row r="152" spans="1:8" ht="25.5" customHeight="1" x14ac:dyDescent="0.2">
      <c r="A152" s="21">
        <v>1.6279999999999999</v>
      </c>
      <c r="B152" s="21" t="s">
        <v>1167</v>
      </c>
      <c r="C152" s="21">
        <v>1</v>
      </c>
      <c r="D152" s="21" t="s">
        <v>1165</v>
      </c>
      <c r="E152" s="21" t="s">
        <v>1166</v>
      </c>
      <c r="F152" s="21" t="s">
        <v>593</v>
      </c>
      <c r="G152" s="21" t="s">
        <v>592</v>
      </c>
      <c r="H152" s="21"/>
    </row>
    <row r="153" spans="1:8" ht="25.5" customHeight="1" x14ac:dyDescent="0.2">
      <c r="A153" s="21">
        <v>1.629</v>
      </c>
      <c r="B153" s="21" t="s">
        <v>1164</v>
      </c>
      <c r="C153" s="21">
        <v>0</v>
      </c>
      <c r="D153" s="21" t="s">
        <v>1165</v>
      </c>
      <c r="E153" s="21" t="s">
        <v>1166</v>
      </c>
      <c r="F153" s="21" t="s">
        <v>593</v>
      </c>
      <c r="G153" s="21" t="s">
        <v>592</v>
      </c>
      <c r="H153" s="21"/>
    </row>
    <row r="154" spans="1:8" ht="25.5" customHeight="1" x14ac:dyDescent="0.2">
      <c r="A154" s="21">
        <v>1.63</v>
      </c>
      <c r="B154" s="21" t="s">
        <v>1164</v>
      </c>
      <c r="C154" s="21">
        <v>0</v>
      </c>
      <c r="D154" s="21" t="s">
        <v>1165</v>
      </c>
      <c r="E154" s="21" t="s">
        <v>1166</v>
      </c>
      <c r="F154" s="21" t="s">
        <v>593</v>
      </c>
      <c r="G154" s="21" t="s">
        <v>592</v>
      </c>
      <c r="H154" s="21"/>
    </row>
    <row r="155" spans="1:8" ht="25.5" customHeight="1" x14ac:dyDescent="0.2">
      <c r="A155" s="21">
        <v>1.631</v>
      </c>
      <c r="B155" s="21" t="s">
        <v>1164</v>
      </c>
      <c r="C155" s="21">
        <v>0</v>
      </c>
      <c r="D155" s="21" t="s">
        <v>1165</v>
      </c>
      <c r="E155" s="21" t="s">
        <v>1166</v>
      </c>
      <c r="F155" s="21" t="s">
        <v>593</v>
      </c>
      <c r="G155" s="21" t="s">
        <v>592</v>
      </c>
      <c r="H155" s="21"/>
    </row>
    <row r="156" spans="1:8" ht="25.5" customHeight="1" x14ac:dyDescent="0.2">
      <c r="A156" s="21">
        <v>1.6319999999999999</v>
      </c>
      <c r="B156" s="21" t="s">
        <v>1164</v>
      </c>
      <c r="C156" s="21">
        <v>1</v>
      </c>
      <c r="D156" s="21" t="s">
        <v>1165</v>
      </c>
      <c r="E156" s="21" t="s">
        <v>1166</v>
      </c>
      <c r="F156" s="21" t="s">
        <v>593</v>
      </c>
      <c r="G156" s="21" t="s">
        <v>592</v>
      </c>
      <c r="H156" s="21"/>
    </row>
    <row r="157" spans="1:8" ht="25.5" customHeight="1" x14ac:dyDescent="0.2">
      <c r="A157" s="21">
        <v>1.633</v>
      </c>
      <c r="B157" s="21" t="s">
        <v>1167</v>
      </c>
      <c r="C157" s="21">
        <v>1</v>
      </c>
      <c r="D157" s="21" t="s">
        <v>1165</v>
      </c>
      <c r="E157" s="21" t="s">
        <v>1166</v>
      </c>
      <c r="F157" s="21" t="s">
        <v>593</v>
      </c>
      <c r="G157" s="21" t="s">
        <v>592</v>
      </c>
      <c r="H157" s="21"/>
    </row>
    <row r="158" spans="1:8" ht="25.5" customHeight="1" x14ac:dyDescent="0.2">
      <c r="A158" s="21">
        <v>1.6339999999999999</v>
      </c>
      <c r="B158" s="21" t="s">
        <v>1164</v>
      </c>
      <c r="C158" s="21">
        <v>0</v>
      </c>
      <c r="D158" s="21" t="s">
        <v>1165</v>
      </c>
      <c r="E158" s="21" t="s">
        <v>1166</v>
      </c>
      <c r="F158" s="21" t="s">
        <v>593</v>
      </c>
      <c r="G158" s="21" t="s">
        <v>592</v>
      </c>
      <c r="H158" s="21"/>
    </row>
    <row r="159" spans="1:8" ht="25.5" customHeight="1" x14ac:dyDescent="0.2">
      <c r="A159" s="21">
        <v>1.635</v>
      </c>
      <c r="B159" s="21" t="s">
        <v>1164</v>
      </c>
      <c r="C159" s="21">
        <v>0</v>
      </c>
      <c r="D159" s="21" t="s">
        <v>1165</v>
      </c>
      <c r="E159" s="21" t="s">
        <v>1166</v>
      </c>
      <c r="F159" s="21" t="s">
        <v>593</v>
      </c>
      <c r="G159" s="21" t="s">
        <v>592</v>
      </c>
      <c r="H159" s="21"/>
    </row>
    <row r="160" spans="1:8" ht="25.5" customHeight="1" x14ac:dyDescent="0.2">
      <c r="A160" s="21">
        <v>1.6359999999999999</v>
      </c>
      <c r="B160" s="21" t="s">
        <v>1164</v>
      </c>
      <c r="C160" s="21">
        <v>0</v>
      </c>
      <c r="D160" s="21" t="s">
        <v>1165</v>
      </c>
      <c r="E160" s="21" t="s">
        <v>1166</v>
      </c>
      <c r="F160" s="21" t="s">
        <v>593</v>
      </c>
      <c r="G160" s="21" t="s">
        <v>592</v>
      </c>
      <c r="H160" s="21"/>
    </row>
    <row r="161" spans="1:8" ht="25.5" customHeight="1" x14ac:dyDescent="0.2">
      <c r="A161" s="21">
        <v>1.637</v>
      </c>
      <c r="B161" s="21" t="s">
        <v>1167</v>
      </c>
      <c r="C161" s="21">
        <v>1</v>
      </c>
      <c r="D161" s="21" t="s">
        <v>1165</v>
      </c>
      <c r="E161" s="21" t="s">
        <v>1166</v>
      </c>
      <c r="F161" s="21" t="s">
        <v>593</v>
      </c>
      <c r="G161" s="21" t="s">
        <v>592</v>
      </c>
      <c r="H161" s="21"/>
    </row>
    <row r="162" spans="1:8" ht="25.5" customHeight="1" x14ac:dyDescent="0.2">
      <c r="A162" s="21">
        <v>1.6379999999999999</v>
      </c>
      <c r="B162" s="21" t="s">
        <v>1167</v>
      </c>
      <c r="C162" s="21">
        <v>0</v>
      </c>
      <c r="D162" s="21" t="s">
        <v>1165</v>
      </c>
      <c r="E162" s="21" t="s">
        <v>1166</v>
      </c>
      <c r="F162" s="21" t="s">
        <v>593</v>
      </c>
      <c r="G162" s="21" t="s">
        <v>592</v>
      </c>
      <c r="H162" s="21"/>
    </row>
    <row r="163" spans="1:8" ht="25.5" customHeight="1" x14ac:dyDescent="0.2">
      <c r="A163" s="21">
        <v>1.639</v>
      </c>
      <c r="B163" s="21" t="s">
        <v>1164</v>
      </c>
      <c r="C163" s="21">
        <v>0</v>
      </c>
      <c r="D163" s="21" t="s">
        <v>1165</v>
      </c>
      <c r="E163" s="21" t="s">
        <v>1166</v>
      </c>
      <c r="F163" s="21" t="s">
        <v>593</v>
      </c>
      <c r="G163" s="21" t="s">
        <v>592</v>
      </c>
      <c r="H163" s="21"/>
    </row>
    <row r="164" spans="1:8" ht="25.5" customHeight="1" x14ac:dyDescent="0.2">
      <c r="A164" s="21">
        <v>1.64</v>
      </c>
      <c r="B164" s="21" t="s">
        <v>1164</v>
      </c>
      <c r="C164" s="21">
        <v>0</v>
      </c>
      <c r="D164" s="21" t="s">
        <v>1165</v>
      </c>
      <c r="E164" s="21" t="s">
        <v>1166</v>
      </c>
      <c r="F164" s="21" t="s">
        <v>593</v>
      </c>
      <c r="G164" s="21" t="s">
        <v>592</v>
      </c>
      <c r="H164" s="21"/>
    </row>
    <row r="165" spans="1:8" ht="25.5" customHeight="1" x14ac:dyDescent="0.2">
      <c r="A165" s="21">
        <v>1.641</v>
      </c>
      <c r="B165" s="21" t="s">
        <v>1164</v>
      </c>
      <c r="C165" s="21">
        <v>0</v>
      </c>
      <c r="D165" s="21" t="s">
        <v>1165</v>
      </c>
      <c r="E165" s="21" t="s">
        <v>1166</v>
      </c>
      <c r="F165" s="21" t="s">
        <v>593</v>
      </c>
      <c r="G165" s="21" t="s">
        <v>592</v>
      </c>
      <c r="H165" s="21"/>
    </row>
    <row r="166" spans="1:8" ht="25.5" customHeight="1" x14ac:dyDescent="0.2">
      <c r="A166" s="21">
        <v>1.6419999999999999</v>
      </c>
      <c r="B166" s="21" t="s">
        <v>1164</v>
      </c>
      <c r="C166" s="21">
        <v>0</v>
      </c>
      <c r="D166" s="21" t="s">
        <v>1165</v>
      </c>
      <c r="E166" s="21" t="s">
        <v>1166</v>
      </c>
      <c r="F166" s="21" t="s">
        <v>593</v>
      </c>
      <c r="G166" s="21" t="s">
        <v>592</v>
      </c>
      <c r="H166" s="21"/>
    </row>
    <row r="167" spans="1:8" ht="25.5" customHeight="1" x14ac:dyDescent="0.2">
      <c r="A167" s="21">
        <v>1.643</v>
      </c>
      <c r="B167" s="21" t="s">
        <v>1164</v>
      </c>
      <c r="C167" s="21">
        <v>0</v>
      </c>
      <c r="D167" s="21" t="s">
        <v>1165</v>
      </c>
      <c r="E167" s="21" t="s">
        <v>1166</v>
      </c>
      <c r="F167" s="21" t="s">
        <v>593</v>
      </c>
      <c r="G167" s="21" t="s">
        <v>592</v>
      </c>
      <c r="H167" s="21"/>
    </row>
    <row r="168" spans="1:8" ht="25.5" customHeight="1" x14ac:dyDescent="0.2">
      <c r="A168" s="21">
        <v>1.6439999999999999</v>
      </c>
      <c r="B168" s="21" t="s">
        <v>1164</v>
      </c>
      <c r="C168" s="21">
        <v>0</v>
      </c>
      <c r="D168" s="21" t="s">
        <v>1165</v>
      </c>
      <c r="E168" s="21" t="s">
        <v>1166</v>
      </c>
      <c r="F168" s="21" t="s">
        <v>593</v>
      </c>
      <c r="G168" s="21" t="s">
        <v>592</v>
      </c>
      <c r="H168" s="21"/>
    </row>
    <row r="169" spans="1:8" ht="25.5" customHeight="1" x14ac:dyDescent="0.2">
      <c r="A169" s="21">
        <v>1.645</v>
      </c>
      <c r="B169" s="21" t="s">
        <v>1164</v>
      </c>
      <c r="C169" s="21">
        <v>0</v>
      </c>
      <c r="D169" s="21" t="s">
        <v>1165</v>
      </c>
      <c r="E169" s="21" t="s">
        <v>1166</v>
      </c>
      <c r="F169" s="21" t="s">
        <v>593</v>
      </c>
      <c r="G169" s="21" t="s">
        <v>592</v>
      </c>
      <c r="H169" s="21"/>
    </row>
    <row r="170" spans="1:8" ht="25.5" customHeight="1" x14ac:dyDescent="0.2">
      <c r="A170" s="21">
        <v>1.6459999999999999</v>
      </c>
      <c r="B170" s="21" t="s">
        <v>1164</v>
      </c>
      <c r="C170" s="21">
        <v>0</v>
      </c>
      <c r="D170" s="21" t="s">
        <v>1165</v>
      </c>
      <c r="E170" s="21" t="s">
        <v>1166</v>
      </c>
      <c r="F170" s="21" t="s">
        <v>593</v>
      </c>
      <c r="G170" s="21" t="s">
        <v>592</v>
      </c>
      <c r="H170" s="21"/>
    </row>
    <row r="171" spans="1:8" ht="25.5" customHeight="1" x14ac:dyDescent="0.2">
      <c r="A171" s="21">
        <v>1.647</v>
      </c>
      <c r="B171" s="21" t="s">
        <v>1164</v>
      </c>
      <c r="C171" s="21">
        <v>0</v>
      </c>
      <c r="D171" s="21" t="s">
        <v>1165</v>
      </c>
      <c r="E171" s="21" t="s">
        <v>1166</v>
      </c>
      <c r="F171" s="21" t="s">
        <v>593</v>
      </c>
      <c r="G171" s="21" t="s">
        <v>592</v>
      </c>
      <c r="H171" s="21"/>
    </row>
    <row r="172" spans="1:8" ht="25.5" customHeight="1" x14ac:dyDescent="0.2">
      <c r="A172" s="21">
        <v>1.6479999999999999</v>
      </c>
      <c r="B172" s="21" t="s">
        <v>1164</v>
      </c>
      <c r="C172" s="21">
        <v>0</v>
      </c>
      <c r="D172" s="21" t="s">
        <v>1165</v>
      </c>
      <c r="E172" s="21" t="s">
        <v>1166</v>
      </c>
      <c r="F172" s="21" t="s">
        <v>593</v>
      </c>
      <c r="G172" s="21" t="s">
        <v>592</v>
      </c>
      <c r="H172" s="21"/>
    </row>
    <row r="173" spans="1:8" ht="25.5" customHeight="1" x14ac:dyDescent="0.2">
      <c r="A173" s="21">
        <v>1.649</v>
      </c>
      <c r="B173" s="21" t="s">
        <v>1167</v>
      </c>
      <c r="C173" s="21">
        <v>1</v>
      </c>
      <c r="D173" s="21" t="s">
        <v>1165</v>
      </c>
      <c r="E173" s="21" t="s">
        <v>1166</v>
      </c>
      <c r="F173" s="21" t="s">
        <v>593</v>
      </c>
      <c r="G173" s="21" t="s">
        <v>592</v>
      </c>
      <c r="H173" s="21"/>
    </row>
    <row r="174" spans="1:8" ht="25.5" customHeight="1" x14ac:dyDescent="0.2">
      <c r="A174" s="21">
        <v>1.65</v>
      </c>
      <c r="B174" s="21" t="s">
        <v>1164</v>
      </c>
      <c r="C174" s="21">
        <v>0</v>
      </c>
      <c r="D174" s="21" t="s">
        <v>1165</v>
      </c>
      <c r="E174" s="21" t="s">
        <v>1166</v>
      </c>
      <c r="F174" s="21" t="s">
        <v>593</v>
      </c>
      <c r="G174" s="21" t="s">
        <v>592</v>
      </c>
      <c r="H174" s="21"/>
    </row>
    <row r="175" spans="1:8" ht="25.5" customHeight="1" x14ac:dyDescent="0.2">
      <c r="A175" s="21">
        <v>1.651</v>
      </c>
      <c r="B175" s="21" t="s">
        <v>1167</v>
      </c>
      <c r="C175" s="21">
        <v>1</v>
      </c>
      <c r="D175" s="21" t="s">
        <v>1165</v>
      </c>
      <c r="E175" s="21" t="s">
        <v>1166</v>
      </c>
      <c r="F175" s="21" t="s">
        <v>593</v>
      </c>
      <c r="G175" s="21" t="s">
        <v>592</v>
      </c>
      <c r="H175" s="21"/>
    </row>
    <row r="176" spans="1:8" ht="25.5" customHeight="1" x14ac:dyDescent="0.2">
      <c r="A176" s="21">
        <v>1.6519999999999999</v>
      </c>
      <c r="B176" s="21" t="s">
        <v>1167</v>
      </c>
      <c r="C176" s="21">
        <v>1</v>
      </c>
      <c r="D176" s="21" t="s">
        <v>1165</v>
      </c>
      <c r="E176" s="21" t="s">
        <v>1166</v>
      </c>
      <c r="F176" s="21" t="s">
        <v>593</v>
      </c>
      <c r="G176" s="21" t="s">
        <v>592</v>
      </c>
      <c r="H176" s="21"/>
    </row>
    <row r="177" spans="1:8" ht="25.5" customHeight="1" x14ac:dyDescent="0.2">
      <c r="A177" s="21">
        <v>1.653</v>
      </c>
      <c r="B177" s="21" t="s">
        <v>1167</v>
      </c>
      <c r="C177" s="21">
        <v>1</v>
      </c>
      <c r="D177" s="21" t="s">
        <v>1165</v>
      </c>
      <c r="E177" s="21" t="s">
        <v>1166</v>
      </c>
      <c r="F177" s="21" t="s">
        <v>593</v>
      </c>
      <c r="G177" s="21" t="s">
        <v>592</v>
      </c>
      <c r="H177" s="21"/>
    </row>
    <row r="178" spans="1:8" ht="25.5" customHeight="1" x14ac:dyDescent="0.2">
      <c r="A178" s="21">
        <v>1.6539999999999999</v>
      </c>
      <c r="B178" s="21" t="s">
        <v>1164</v>
      </c>
      <c r="C178" s="21">
        <v>0</v>
      </c>
      <c r="D178" s="21" t="s">
        <v>1165</v>
      </c>
      <c r="E178" s="21" t="s">
        <v>1166</v>
      </c>
      <c r="F178" s="21" t="s">
        <v>593</v>
      </c>
      <c r="G178" s="21" t="s">
        <v>592</v>
      </c>
      <c r="H178" s="21"/>
    </row>
    <row r="179" spans="1:8" ht="25.5" customHeight="1" x14ac:dyDescent="0.2">
      <c r="A179" s="21">
        <v>1.655</v>
      </c>
      <c r="B179" s="21" t="s">
        <v>1164</v>
      </c>
      <c r="C179" s="21">
        <v>0</v>
      </c>
      <c r="D179" s="21" t="s">
        <v>1165</v>
      </c>
      <c r="E179" s="21" t="s">
        <v>1166</v>
      </c>
      <c r="F179" s="21" t="s">
        <v>593</v>
      </c>
      <c r="G179" s="21" t="s">
        <v>592</v>
      </c>
      <c r="H179" s="21"/>
    </row>
    <row r="180" spans="1:8" ht="25.5" customHeight="1" x14ac:dyDescent="0.2">
      <c r="A180" s="21">
        <v>1.6559999999999999</v>
      </c>
      <c r="B180" s="21" t="s">
        <v>1167</v>
      </c>
      <c r="C180" s="21">
        <v>1</v>
      </c>
      <c r="D180" s="21" t="s">
        <v>1165</v>
      </c>
      <c r="E180" s="21" t="s">
        <v>1166</v>
      </c>
      <c r="F180" s="21" t="s">
        <v>593</v>
      </c>
      <c r="G180" s="21" t="s">
        <v>592</v>
      </c>
      <c r="H180" s="21"/>
    </row>
    <row r="181" spans="1:8" ht="25.5" customHeight="1" x14ac:dyDescent="0.2">
      <c r="A181" s="21">
        <v>1.657</v>
      </c>
      <c r="B181" s="21" t="s">
        <v>1167</v>
      </c>
      <c r="C181" s="21">
        <v>1</v>
      </c>
      <c r="D181" s="21" t="s">
        <v>1165</v>
      </c>
      <c r="E181" s="21" t="s">
        <v>1166</v>
      </c>
      <c r="F181" s="21" t="s">
        <v>593</v>
      </c>
      <c r="G181" s="21" t="s">
        <v>592</v>
      </c>
      <c r="H181" s="21"/>
    </row>
    <row r="182" spans="1:8" ht="25.5" customHeight="1" x14ac:dyDescent="0.2">
      <c r="A182" s="21">
        <v>1.6579999999999999</v>
      </c>
      <c r="B182" s="21" t="s">
        <v>1164</v>
      </c>
      <c r="C182" s="21">
        <v>0</v>
      </c>
      <c r="D182" s="21" t="s">
        <v>1165</v>
      </c>
      <c r="E182" s="21" t="s">
        <v>1166</v>
      </c>
      <c r="F182" s="21" t="s">
        <v>593</v>
      </c>
      <c r="G182" s="21" t="s">
        <v>592</v>
      </c>
      <c r="H182" s="21"/>
    </row>
    <row r="183" spans="1:8" ht="25.5" customHeight="1" x14ac:dyDescent="0.2">
      <c r="A183" s="21">
        <v>1.659</v>
      </c>
      <c r="B183" s="21" t="s">
        <v>1164</v>
      </c>
      <c r="C183" s="21">
        <v>0</v>
      </c>
      <c r="D183" s="21" t="s">
        <v>1165</v>
      </c>
      <c r="E183" s="21" t="s">
        <v>1166</v>
      </c>
      <c r="F183" s="21" t="s">
        <v>593</v>
      </c>
      <c r="G183" s="21" t="s">
        <v>592</v>
      </c>
      <c r="H183" s="21"/>
    </row>
    <row r="184" spans="1:8" ht="25.5" customHeight="1" x14ac:dyDescent="0.2">
      <c r="A184" s="21">
        <v>1.66</v>
      </c>
      <c r="B184" s="21" t="s">
        <v>1164</v>
      </c>
      <c r="C184" s="21">
        <v>0</v>
      </c>
      <c r="D184" s="21" t="s">
        <v>1165</v>
      </c>
      <c r="E184" s="21" t="s">
        <v>1166</v>
      </c>
      <c r="F184" s="21" t="s">
        <v>593</v>
      </c>
      <c r="G184" s="21" t="s">
        <v>592</v>
      </c>
      <c r="H184" s="21"/>
    </row>
    <row r="185" spans="1:8" ht="25.5" customHeight="1" x14ac:dyDescent="0.2">
      <c r="A185" s="21">
        <v>1.661</v>
      </c>
      <c r="B185" s="21" t="s">
        <v>1164</v>
      </c>
      <c r="C185" s="21">
        <v>0</v>
      </c>
      <c r="D185" s="21" t="s">
        <v>1165</v>
      </c>
      <c r="E185" s="21" t="s">
        <v>1166</v>
      </c>
      <c r="F185" s="21" t="s">
        <v>593</v>
      </c>
      <c r="G185" s="21" t="s">
        <v>592</v>
      </c>
      <c r="H185" s="21"/>
    </row>
    <row r="186" spans="1:8" ht="25.5" customHeight="1" x14ac:dyDescent="0.2">
      <c r="A186" s="21">
        <v>1.6619999999999999</v>
      </c>
      <c r="B186" s="21" t="s">
        <v>1167</v>
      </c>
      <c r="C186" s="21">
        <v>1</v>
      </c>
      <c r="D186" s="21" t="s">
        <v>1165</v>
      </c>
      <c r="E186" s="21" t="s">
        <v>1166</v>
      </c>
      <c r="F186" s="21" t="s">
        <v>593</v>
      </c>
      <c r="G186" s="21" t="s">
        <v>592</v>
      </c>
      <c r="H186" s="21"/>
    </row>
    <row r="187" spans="1:8" ht="25.5" customHeight="1" x14ac:dyDescent="0.2">
      <c r="A187" s="21">
        <v>1.663</v>
      </c>
      <c r="B187" s="21" t="s">
        <v>1164</v>
      </c>
      <c r="C187" s="21">
        <v>0</v>
      </c>
      <c r="D187" s="21" t="s">
        <v>1165</v>
      </c>
      <c r="E187" s="21" t="s">
        <v>1166</v>
      </c>
      <c r="F187" s="21" t="s">
        <v>593</v>
      </c>
      <c r="G187" s="21" t="s">
        <v>592</v>
      </c>
      <c r="H187" s="21"/>
    </row>
    <row r="188" spans="1:8" ht="25.5" customHeight="1" x14ac:dyDescent="0.2">
      <c r="A188" s="21">
        <v>1.6639999999999999</v>
      </c>
      <c r="B188" s="21" t="s">
        <v>1164</v>
      </c>
      <c r="C188" s="21">
        <v>0</v>
      </c>
      <c r="D188" s="21" t="s">
        <v>1165</v>
      </c>
      <c r="E188" s="21" t="s">
        <v>1166</v>
      </c>
      <c r="F188" s="21" t="s">
        <v>593</v>
      </c>
      <c r="G188" s="21" t="s">
        <v>592</v>
      </c>
      <c r="H188" s="21"/>
    </row>
    <row r="189" spans="1:8" ht="24.75" x14ac:dyDescent="0.2">
      <c r="A189" s="21">
        <v>1.665</v>
      </c>
      <c r="B189" s="21" t="s">
        <v>1164</v>
      </c>
      <c r="C189" s="21">
        <v>0</v>
      </c>
      <c r="D189" s="21" t="s">
        <v>1165</v>
      </c>
      <c r="E189" s="21" t="s">
        <v>1166</v>
      </c>
      <c r="F189" s="21" t="s">
        <v>593</v>
      </c>
      <c r="G189" s="21" t="s">
        <v>592</v>
      </c>
      <c r="H189" s="22"/>
    </row>
  </sheetData>
  <autoFilter ref="A1:H189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PON TEST SHEET</vt:lpstr>
      <vt:lpstr>Task</vt:lpstr>
      <vt:lpstr>Orca</vt:lpstr>
      <vt:lpstr>PON TEST 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0</cp:revision>
  <dcterms:created xsi:type="dcterms:W3CDTF">2026-08-31T12:25:24Z</dcterms:created>
  <dcterms:modified xsi:type="dcterms:W3CDTF">2026-09-04T14:51:37Z</dcterms:modified>
  <dc:language>en-US</dc:language>
</cp:coreProperties>
</file>